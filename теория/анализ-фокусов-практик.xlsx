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79ee5b12d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ac6fde1c9ff2464f"/>
    <x:sheet xmlns:r="http://schemas.openxmlformats.org/officeDocument/2006/relationships" name="Проверка MVP" sheetId="2" r:id="R6741026794a44477"/>
    <x:sheet xmlns:r="http://schemas.openxmlformats.org/officeDocument/2006/relationships" name="Группы" sheetId="3" r:id="Rca410c771f2f414d"/>
    <x:sheet xmlns:r="http://schemas.openxmlformats.org/officeDocument/2006/relationships" name="Пересечения" sheetId="4" r:id="Rff8b49dd37a544d6"/>
    <x:sheet xmlns:r="http://schemas.openxmlformats.org/officeDocument/2006/relationships" name="Data" sheetId="5" r:id="Rc56d07417c744451"/>
    <x:sheet xmlns:r="http://schemas.openxmlformats.org/officeDocument/2006/relationships" name="Matrix" sheetId="6" r:id="R0f32208f0e854cf8"/>
    <x:sheet xmlns:r="http://schemas.openxmlformats.org/officeDocument/2006/relationships" name="Частые слова" sheetId="7" r:id="R2f45feeef72b4ce9"/>
    <x:sheet xmlns:r="http://schemas.openxmlformats.org/officeDocument/2006/relationships" name="Методика" sheetId="8" r:id="R8d504db108434d7d"/>
    <x:sheet xmlns:r="http://schemas.openxmlformats.org/officeDocument/2006/relationships" name="Итоговый focus" sheetId="9" r:id="R55953a0caf5542f0"/>
    <x:sheet xmlns:r="http://schemas.openxmlformats.org/officeDocument/2006/relationships" name="Teg long" sheetId="10" r:id="Rcb66b2204e93430b"/>
    <x:sheet xmlns:r="http://schemas.openxmlformats.org/officeDocument/2006/relationships" name="Покрытие teg" sheetId="11" r:id="R139104fd074a4497"/>
  </x:sheets>
</x:workbook>
</file>

<file path=xl/sharedStrings.xml><?xml version="1.0" encoding="utf-8"?>
<x:sst xmlns:x="http://schemas.openxmlformats.org/spreadsheetml/2006/main">
  <x:si>
    <x:t xml:space="preserve">Карта фокусов YogaDailyBot</x:t>
  </x:si>
  <x:si>
    <x:t xml:space="preserve">Срез библиотеки перед выбором кнопок. Группы исследовательские: их нужно обсудить, объединить или отбросить до миграции базы.</x:t>
  </x:si>
  <x:si>
    <x:t xml:space="preserve">Всего практик</x:t>
  </x:si>
  <x:si>
    <x:t xml:space="preserve">Yoga</x:t>
  </x:si>
  <x:si>
    <x:t xml:space="preserve">Mood</x:t>
  </x:si>
  <x:si>
    <x:t xml:space="preserve">Без сигнала</x:t>
  </x:si>
  <x:si>
    <x:t xml:space="preserve">Крупнейшие группы</x:t>
  </x:si>
  <x:si>
    <x:t xml:space="preserve">Практик</x:t>
  </x:si>
  <x:si>
    <x:t xml:space="preserve">Доля</x:t>
  </x:si>
  <x:si>
    <x:t xml:space="preserve">Комментарий</x:t>
  </x:si>
  <x:si>
    <x:t xml:space="preserve">Что важно заметить</x:t>
  </x:si>
  <x:si>
    <x:t xml:space="preserve">Сила и выносливость</x:t>
  </x:si>
  <x:si>
    <x:t xml:space="preserve">Достаточно материала для теста; нужна ручная проверка</x:t>
  </x:si>
  <x:si>
    <x:t xml:space="preserve">• «Здоровая спина» уже обеспечена заметным пулом практик.
• Акценты «сила», «расслабление» и «зарядка» в библиотеке не менее заметны, чем части тела.
• «Тазобедренные» пока тесно переплетены со шпагатами и освоением асан.
• Финальные теги нужно утверждать после просмотра листа «Практики».</x:t>
  </x:si>
  <x:si>
    <x:t xml:space="preserve">Зарядка и пробуждение</x:t>
  </x:si>
  <x:si>
    <x:t xml:space="preserve">Расслабление и замедление</x:t>
  </x:si>
  <x:si>
    <x:t xml:space="preserve">Плечи, руки и запястья</x:t>
  </x:si>
  <x:si>
    <x:t xml:space="preserve">Здоровая спина</x:t>
  </x:si>
  <x:si>
    <x:t xml:space="preserve">Растяжка и подвижность</x:t>
  </x:si>
  <x:si>
    <x:t xml:space="preserve">Менее широкая группа</x:t>
  </x:si>
  <x:si>
    <x:t xml:space="preserve">Освоение асан и балансов</x:t>
  </x:si>
  <x:si>
    <x:t xml:space="preserve">Всё тело</x:t>
  </x:si>
  <x:si>
    <x:t xml:space="preserve">Кор и пресс</x:t>
  </x:si>
  <x:si>
    <x:t xml:space="preserve">Тазобедренные и шпагаты</x:t>
  </x:si>
  <x:si>
    <x:t xml:space="preserve">Проверка акцентов MVP</x:t>
  </x:si>
  <x:si>
    <x:t xml:space="preserve">Одна строка = одна практика. Все предложенные акценты собраны в одном столбце как будущий focus в базе. Выбери «оставить / убрать / сомневаюсь»; добавления и уточнения можно вписать справа.</x:t>
  </x:si>
  <x:si>
    <x:t xml:space="preserve">С focus</x:t>
  </x:si>
  <x:si>
    <x:t xml:space="preserve">Без focus</x:t>
  </x:si>
  <x:si>
    <x:t xml:space="preserve">Не проверено</x:t>
  </x:si>
  <x:si>
    <x:t xml:space="preserve">Каталог</x:t>
  </x:si>
  <x:si>
    <x:t xml:space="preserve">ID</x:t>
  </x:si>
  <x:si>
    <x:t xml:space="preserve">Название</x:t>
  </x:si>
  <x:si>
    <x:t xml:space="preserve">Мин</x:t>
  </x:si>
  <x:si>
    <x:t xml:space="preserve">Сложность</x:t>
  </x:si>
  <x:si>
    <x:t xml:space="preserve">Моё описание</x:t>
  </x:si>
  <x:si>
    <x:t xml:space="preserve">Предложенный focus</x:t>
  </x:si>
  <x:si>
    <x:t xml:space="preserve">Почему попала</x:t>
  </x:si>
  <x:si>
    <x:t xml:space="preserve">Источник сигнала</x:t>
  </x:si>
  <x:si>
    <x:t xml:space="preserve">URL</x:t>
  </x:si>
  <x:si>
    <x:t xml:space="preserve">Решение</x:t>
  </x:si>
  <x:si>
    <x:t xml:space="preserve">Добавить focus</x:t>
  </x:si>
  <x:si>
    <x:t xml:space="preserve">mood</x:t>
  </x:si>
  <x:si>
    <x:t xml:space="preserve">Дживамукти йога: наклоны с Дарьей Григорьевой</x:t>
  </x:si>
  <x:si>
    <x:t xml:space="preserve">высокая</x:t>
  </x:si>
  <x:si>
    <x:t xml:space="preserve">Практика посвящена центру тела и *глубокому наклону*. 
Для практики понадобятся плед\носки, два блока и ремень.</x:t>
  </x:si>
  <x:si>
    <x:t xml:space="preserve">Растяжка</x:t>
  </x:si>
  <x:si>
    <x:t xml:space="preserve">Растяжка: наклон</x:t>
  </x:si>
  <x:si>
    <x:t xml:space="preserve">название</x:t>
  </x:si>
  <x:si>
    <x:t xml:space="preserve">https://youtu.be/diu-iG_EAog?si=xGQ-Vs0uSl5y0T6S</x:t>
  </x:si>
  <x:si>
    <x:t xml:space="preserve">сомневаюсь</x:t>
  </x:si>
  <x:si>
    <x:t xml:space="preserve">Растяжка, кор, шпагат</x:t>
  </x:si>
  <x:si>
    <x:t xml:space="preserve">посмотреть сколько в этом временном диапазоне есть практик на кор и шапагаты</x:t>
  </x:si>
  <x:si>
    <x:t xml:space="preserve">Йога в критические дни за 15 минут</x:t>
  </x:si>
  <x:si>
    <x:t xml:space="preserve">сверх низкая</x:t>
  </x:si>
  <x:si>
    <x:t xml:space="preserve">Эта мягкая йога создана для выполнения *в критические дни*, для облегчения боли во время менструаций, снятия симптомов ПМС, улучшения самочувствия и настроения</x:t>
  </x:si>
  <x:si>
    <x:t xml:space="preserve">Расслабление</x:t>
  </x:si>
  <x:si>
    <x:t xml:space="preserve">Расслабление: мягк</x:t>
  </x:si>
  <x:si>
    <x:t xml:space="preserve">моё описание</x:t>
  </x:si>
  <x:si>
    <x:t xml:space="preserve">https://youtu.be/f7JvULF-nyg?si=gq26WlIVsPNMppYm</x:t>
  </x:si>
  <x:si>
    <x:t xml:space="preserve">оставить</x:t>
  </x:si>
  <x:si>
    <x:t xml:space="preserve">Подведение к поперечному шпагату с Зариной Зубковой. Продвинутый уровень</x:t>
  </x:si>
  <x:si>
    <x:t xml:space="preserve">Занятие среднего уровня сложности на подготовку к Самаконасане — *поперечному шпагату*</x:t>
  </x:si>
  <x:si>
    <x:t xml:space="preserve">ТБС и шпагаты</x:t>
  </x:si>
  <x:si>
    <x:t xml:space="preserve">ТБС и шпагаты: самаконас, шпагат</x:t>
  </x:si>
  <x:si>
    <x:t xml:space="preserve">https://youtu.be/Yur-nFCg880?si=plcren2sxbfzdGHz</x:t>
  </x:si>
  <x:si>
    <x:t xml:space="preserve">Растяжка, кор, тбс и шпагат, сила </x:t>
  </x:si>
  <x:si>
    <x:t xml:space="preserve">посмотреть сколько в этом временном диапазоне есть практик на кор и силу</x:t>
  </x:si>
  <x:si>
    <x:t xml:space="preserve">Упражнения для шеи и плеч за рабочим местом</x:t>
  </x:si>
  <x:si>
    <x:t xml:space="preserve">Простой комплекс упражнений *для шеи, плеч и спины за рабочим столом*, чтобы снять дискомфорт, зажатость и придать легкость этим зонам</x:t>
  </x:si>
  <x:si>
    <x:t xml:space="preserve">Здоровая спина: спин, шеи</x:t>
  </x:si>
  <x:si>
    <x:t xml:space="preserve">https://youtu.be/xqtsMTjiDoc?si=PNayM9CIEf1iO-Ps</x:t>
  </x:si>
  <x:si>
    <x:t xml:space="preserve">VINYASA FLOW</x:t>
  </x:si>
  <x:si>
    <x:t xml:space="preserve">средняя</x:t>
  </x:si>
  <x:si>
    <x:t xml:space="preserve">На этом занятии сделаем горячий флоу!</x:t>
  </x:si>
  <x:si>
    <x:t xml:space="preserve">нет сигнала</x:t>
  </x:si>
  <x:si>
    <x:t xml:space="preserve">https://youtu.be/CW1ncGIM1qo?si=Td6KiFQgLAb2Fb9m</x:t>
  </x:si>
  <x:si>
    <x:t xml:space="preserve">изменить</x:t>
  </x:si>
  <x:si>
    <x:t xml:space="preserve">все тело</x:t>
  </x:si>
  <x:si>
    <x:t xml:space="preserve">VINYASA FLOW  практика «ОСВОБОЖДЕНИЕ ОТ ОБИД»</x:t>
  </x:si>
  <x:si>
    <x:t xml:space="preserve">*Виньяса йога* - это когда каждое движение логично вытекает из другого. Анико мастер этого направления!</x:t>
  </x:si>
  <x:si>
    <x:t xml:space="preserve">https://youtu.be/1nAdVkn5jTc?si=KZ8s0sW2SWTkjyYI</x:t>
  </x:si>
  <x:si>
    <x:t xml:space="preserve">ИНТЕНСИВНАЯ ЙОГА с элементами среднего уровня</x:t>
  </x:si>
  <x:si>
    <x:t xml:space="preserve">Практика с силовым акцентом для продолжающих на *мышцы плечевого пояса, ног и кора*. 
Кстати тут есть интересные силовые балансы на руках и даже стойка на голове 🤸</x:t>
  </x:si>
  <x:si>
    <x:t xml:space="preserve">Сила; Кор и пресс; Балансы на руках</x:t>
  </x:si>
  <x:si>
    <x:t xml:space="preserve">Сила: интенсив, силов; Кор и пресс: кора; Балансы на руках: балансы на рук</x:t>
  </x:si>
  <x:si>
    <x:t xml:space="preserve">название, моё описание</x:t>
  </x:si>
  <x:si>
    <x:t xml:space="preserve">https://youtu.be/KhdS69FcQFg?si=Gnra90ylcgpk3sid</x:t>
  </x:si>
  <x:si>
    <x:t xml:space="preserve">Сила; Кор и пресс; Балансы на руках, все тело</x:t>
  </x:si>
  <x:si>
    <x:t xml:space="preserve">хатха йога для начинающих</x:t>
  </x:si>
  <x:si>
    <x:t xml:space="preserve">низкая</x:t>
  </x:si>
  <x:si>
    <x:t xml:space="preserve">Это класс *хатха йоги для начинающих* от ведущих преподавателей студии HOLI yoga &amp; cafe - Марии Колосовой и Софьи Полтавец</x:t>
  </x:si>
  <x:si>
    <x:t xml:space="preserve">https://youtu.be/PUCnJWlM8RQ?si=JVYV-P_3JDjsREDn</x:t>
  </x:si>
  <x:si>
    <x:t xml:space="preserve">здоровая спина, все тело </x:t>
  </x:si>
  <x:si>
    <x:t xml:space="preserve">тут тема прогибы но ее нет в наших акцентах mvp</x:t>
  </x:si>
  <x:si>
    <x:t xml:space="preserve">ИНЬ ЙОГА с Тоней Арно</x:t>
  </x:si>
  <x:si>
    <x:t xml:space="preserve">*Инь йога* — это погружение на другие уровни осознания своего тела, расслабляющая практика с длительным удержанием каждого положения, благодаря такому подходу появляется возможность перейти на глубокую работу</x:t>
  </x:si>
  <x:si>
    <x:t xml:space="preserve">Расслабление: инь, расслаб</x:t>
  </x:si>
  <x:si>
    <x:t xml:space="preserve">https://youtu.be/e91K_Pv1fSc?si=i-ux-xJko04idqk0</x:t>
  </x:si>
  <x:si>
    <x:t xml:space="preserve">Расслабление, растяжка</x:t>
  </x:si>
  <x:si>
    <x:t xml:space="preserve">Мягкая практика после длительного перелета или сидения с Еленой Куратовой</x:t>
  </x:si>
  <x:si>
    <x:t xml:space="preserve">Мягкая практика после длительного перелета или сидения</x:t>
  </x:si>
  <x:si>
    <x:t xml:space="preserve">https://youtu.be/DCZDThojB6o?si=htuVSLDbHUBYv40r</x:t>
  </x:si>
  <x:si>
    <x:t xml:space="preserve">растяжка, все тело, зарядка</x:t>
  </x:si>
  <x:si>
    <x:t xml:space="preserve">ВИНЬЯСА С АКЦЕНТОМ НА УКРЕПЛЕНИЕ МЫШЦ КОРА И РУК</x:t>
  </x:si>
  <x:si>
    <x:t xml:space="preserve">сверх высокая</x:t>
  </x:si>
  <x:si>
    <x:t xml:space="preserve">*Укрепляющая комплексная виньяса с акцентом на кор и руки.*
Для практики нужен только коврик и удобная одежда, никаких дополнительных приспособлений! После практики почувствуете спокойную силу в теле, тишину и готовность к новым свершениям</x:t>
  </x:si>
  <x:si>
    <x:t xml:space="preserve">Сила; Расслабление; Кор и пресс</x:t>
  </x:si>
  <x:si>
    <x:t xml:space="preserve">Сила: укреп; Расслабление: спокойн; Кор и пресс: кор, кора</x:t>
  </x:si>
  <x:si>
    <x:t xml:space="preserve">https://youtu.be/gMVXd9P5xFw?si=rwDa4PtdKz5e1zhP</x:t>
  </x:si>
  <x:si>
    <x:t xml:space="preserve">Сила; Кор и пресс, все тело, зарядка </x:t>
  </x:si>
  <x:si>
    <x:t xml:space="preserve">Хануманасана - укрепление ног и активные наклоны</x:t>
  </x:si>
  <x:si>
    <x:t xml:space="preserve">Комплекс умеренной интенсивности с акцентом на приближение к Хануманасане - *продольному шпагату*. 
Много будем работать над укреплением мышц ног и силовыми наклонами</x:t>
  </x:si>
  <x:si>
    <x:t xml:space="preserve">Сила; Растяжка; ТБС и шпагаты</x:t>
  </x:si>
  <x:si>
    <x:t xml:space="preserve">Сила: интенсив, силов, укреп; Растяжка: наклон; ТБС и шпагаты: хануман, шпагат</x:t>
  </x:si>
  <x:si>
    <x:t xml:space="preserve">https://youtu.be/WZ9TYeYpuBM?si=6wjgCGzFqJUctSUn</x:t>
  </x:si>
  <x:si>
    <x:t xml:space="preserve">Jivamukti Yoga Spiritual Warrior с Татьяной Кошкаровой</x:t>
  </x:si>
  <x:si>
    <x:t xml:space="preserve">*Jivamukti Yoga Spiritual Warrior* — это интенсивный часовой класс, созданный специально для занятых людей, так как его длительность составляет 60 мин, а не как классическое занятие - 90 мин. Тренировка проходит в динамичном темпе виньясы и имеет строго фиксированную последовательность асан, которая никогда не меняется</x:t>
  </x:si>
  <x:si>
    <x:t xml:space="preserve">Сила</x:t>
  </x:si>
  <x:si>
    <x:t xml:space="preserve">Сила: интенсив</x:t>
  </x:si>
  <x:si>
    <x:t xml:space="preserve">https://youtu.be/l2ZER6w_hrY?si=KIudwZiveGPkYHjE</x:t>
  </x:si>
  <x:si>
    <x:t xml:space="preserve">Сила, все тело</x:t>
  </x:si>
  <x:si>
    <x:t xml:space="preserve">Класс Татьяны Кошкаровой с акцентом на направление «нога за головой»</x:t>
  </x:si>
  <x:si>
    <x:t xml:space="preserve">ТБС и шпагаты: нога за голов</x:t>
  </x:si>
  <x:si>
    <x:t xml:space="preserve">https://youtu.be/y1WT59Ywv-I?si=0IsJ48dmmvYJ3o0W</x:t>
  </x:si>
  <x:si>
    <x:t xml:space="preserve">ТБС и шпагаты, балансы на руках, сила </x:t>
  </x:si>
  <x:si>
    <x:t xml:space="preserve">нужен ли сюда кор?</x:t>
  </x:si>
  <x:si>
    <x:t xml:space="preserve">Хануманасана (продольный шпагат) с Кириллом Гетманом</x:t>
  </x:si>
  <x:si>
    <x:t xml:space="preserve">Класс с Кириллом Гетманом на Хануманасану - *продольный шпагат*</x:t>
  </x:si>
  <x:si>
    <x:t xml:space="preserve">ТБС и шпагаты: хануман, шпагат</x:t>
  </x:si>
  <x:si>
    <x:t xml:space="preserve">https://youtu.be/ivIMBXfGn8A?si=_KMely54vAHsg-nM</x:t>
  </x:si>
  <x:si>
    <x:t xml:space="preserve">ТБС и шпагаты, Сильное тело </x:t>
  </x:si>
  <x:si>
    <x:t xml:space="preserve">нужна ли сюда растяжка?</x:t>
  </x:si>
  <x:si>
    <x:t xml:space="preserve">Jivamukti Yoga с Анной Лунеговой и Ольгой Карпуть</x:t>
  </x:si>
  <x:si>
    <x:t xml:space="preserve">https://youtu.be/KSHIYWQxeYg?si=9TawUJG3Qfq_u3Ea</x:t>
  </x:si>
  <x:si>
    <x:t xml:space="preserve">ТБС и шпагаты, растяжка</x:t>
  </x:si>
  <x:si>
    <x:t xml:space="preserve">нужна ли сюда сила?</x:t>
  </x:si>
  <x:si>
    <x:t xml:space="preserve">Jivamukti Yoga. Освоение падмасаны с Дарьей Григорьевой</x:t>
  </x:si>
  <x:si>
    <x:t xml:space="preserve">Освоение падмасаны или *позы лотоса* с Дарьей Григорьевой</x:t>
  </x:si>
  <x:si>
    <x:t xml:space="preserve">ТБС и шпагаты: падмасан, позы лотос</x:t>
  </x:si>
  <x:si>
    <x:t xml:space="preserve">https://youtu.be/BgqinUVwTYE?si=Dk-WXfYdoD-JK-Kr</x:t>
  </x:si>
  <x:si>
    <x:t xml:space="preserve">ЙОГА для СИЛЬНОЙ и ГИБКОЙ СПИНЫ</x:t>
  </x:si>
  <x:si>
    <x:t xml:space="preserve">*Эта практика поможет сделать твою спину сильнее и подвижнее*. Мы укрепим мышцы плеч, спины, сделаем позвоночник подвижнее через скручивания, прогибы, наклоны и боковые вытяжения. Практика отлично подойдет как снятие нагрузки и напряжения со спины после тяжелого дня.</x:t>
  </x:si>
  <x:si>
    <x:t xml:space="preserve">Сила; Растяжка; Здоровая спина</x:t>
  </x:si>
  <x:si>
    <x:t xml:space="preserve">Сила: укреп; Растяжка: вытяж, гибк, наклон, подвижн; Здоровая спина: позвоноч, спин</x:t>
  </x:si>
  <x:si>
    <x:t xml:space="preserve">моё описание, название</x:t>
  </x:si>
  <x:si>
    <x:t xml:space="preserve">https://youtu.be/zgdolO1SGp4?si=hUscLLsrlJJ1S9vW</x:t>
  </x:si>
  <x:si>
    <x:t xml:space="preserve">Сильное тело; Здоровая спина, зарядка</x:t>
  </x:si>
  <x:si>
    <x:t xml:space="preserve">ЙОГА - СИЛА И БАЛАНС</x:t>
  </x:si>
  <x:si>
    <x:t xml:space="preserve">Практика направлена на работу с устойчивостью, контролем и включением всего тела</x:t>
  </x:si>
  <x:si>
    <x:t xml:space="preserve">Сила; Всё тело</x:t>
  </x:si>
  <x:si>
    <x:t xml:space="preserve">Сила: сила; Всё тело: всего тела</x:t>
  </x:si>
  <x:si>
    <x:t xml:space="preserve">https://youtu.be/orzn5NbsV2w?si=L2NelmJggWOKt_NM</x:t>
  </x:si>
  <x:si>
    <x:t xml:space="preserve">Сильное тело, все тело</x:t>
  </x:si>
  <x:si>
    <x:t xml:space="preserve">ЙОГА С НУЛЯ ДЛЯ НАЧИНАЮЩИХ. Мягкая, легкая практика с подробным разбором</x:t>
  </x:si>
  <x:si>
    <x:t xml:space="preserve">Практика подойдет тем, *кто только только начинает свой путь в йоге* и только начинает знакомиться с собой ✨ 
Видео с очень подробным объяснением: что и зачем делаем, на что обратить внимание и как выбрать свой вариант</x:t>
  </x:si>
  <x:si>
    <x:t xml:space="preserve">https://youtu.be/BUBCpC29q3U?si=S_l8NnGeP0LGvJ9-</x:t>
  </x:si>
  <x:si>
    <x:t xml:space="preserve">МЯГКАЯ РАСТЯЖКА для спокойствия ума. Минимум отстроек, максимум внимания внутрь себя</x:t>
  </x:si>
  <x:si>
    <x:t xml:space="preserve">Мягкое вытяжение мышц для работы с ментальным состоянием, для активизации парасимпатики и расслабления 🧘‍♂️</x:t>
  </x:si>
  <x:si>
    <x:t xml:space="preserve">Расслабление; Растяжка</x:t>
  </x:si>
  <x:si>
    <x:t xml:space="preserve">Расслабление: мягк, расслаб; Растяжка: вытяж, растяж</x:t>
  </x:si>
  <x:si>
    <x:t xml:space="preserve">https://youtu.be/aAWL8gZIvQA?si=n5JNsgStHa0nc_wz</x:t>
  </x:si>
  <x:si>
    <x:t xml:space="preserve">Расслабление; Растяжка все тело</x:t>
  </x:si>
  <x:si>
    <x:t xml:space="preserve">ЙОГА ОТ СКОВАННОСТИ. Раскрепощение всего тела</x:t>
  </x:si>
  <x:si>
    <x:t xml:space="preserve">Практика прекрасно подойдет после долгого сидячего положения, когда что-то затекло, когда вы чувствуете себя деревянным и скованным 🔋</x:t>
  </x:si>
  <x:si>
    <x:t xml:space="preserve">Растяжка; Всё тело</x:t>
  </x:si>
  <x:si>
    <x:t xml:space="preserve">Растяжка: раскрепощ, скован; Всё тело: всего тела</x:t>
  </x:si>
  <x:si>
    <x:t xml:space="preserve">https://youtu.be/JYB0BNN3ZAk?si=VziO9CTEjipljoQI</x:t>
  </x:si>
  <x:si>
    <x:t xml:space="preserve">СИЛОВАЯ ЙОГА ДЛЯ ПРОДОЛЖАЮЩИХ</x:t>
  </x:si>
  <x:si>
    <x:t xml:space="preserve">Расстилай коврик! Поработаем над *силой рук, ног и всего кора*💪 
Практика подойдет для дней, когда хочешь почувствовать свою мощь c приятным расслаблением в шавасане в конце</x:t>
  </x:si>
  <x:si>
    <x:t xml:space="preserve">Сила: силов; Расслабление: расслаб; Кор и пресс: кора</x:t>
  </x:si>
  <x:si>
    <x:t xml:space="preserve">https://youtu.be/EL33kij5L_g?si=zmLoM-OoR5p9omFz</x:t>
  </x:si>
  <x:si>
    <x:t xml:space="preserve">Сильное тело ; Кор и пресс все тело</x:t>
  </x:si>
  <x:si>
    <x:t xml:space="preserve">ЙОГА ДЛЯ НАЧИНАЮЩИХ. БЕЗ НАГРУЗКИ НА РУКИ</x:t>
  </x:si>
  <x:si>
    <x:t xml:space="preserve">Эта практика совсем *не содержит нагрузки на руки*, поэтому отлично подойдет тем, у кого есть травмы или боль в запястье, локте или плечевом поясе, подходит для новичков</x:t>
  </x:si>
  <x:si>
    <x:t xml:space="preserve">https://youtu.be/6l7cpBOTspI?si=cM444NeKpa4jR2IA</x:t>
  </x:si>
  <x:si>
    <x:t xml:space="preserve">Расслабление; Растяжка зарядка ТБС и шпагаты;</x:t>
  </x:si>
  <x:si>
    <x:t xml:space="preserve">ЙОГА В ОФИСЕ для быстрой перезагрузки всего тела</x:t>
  </x:si>
  <x:si>
    <x:t xml:space="preserve">Наконец-то развлечения в офисе! Зови любимых коллег и включай новое занятие!
Эта практика поможетснять напряжение с глаз, вытянуть и укрепить позвоночник, раскрыть грудной отдел, снять ощущение отекших ног. Сделав ее ты почувствуешь прилив бодрости и сил для оставшегося дня. 
Можно практиковать не только в офисе, но и дома, и везде, где есть стена и стул. Больше тебе ничего не понадобится.</x:t>
  </x:si>
  <x:si>
    <x:t xml:space="preserve">Сила; Зарядка; Здоровая спина; Всё тело</x:t>
  </x:si>
  <x:si>
    <x:t xml:space="preserve">Сила: укреп; Зарядка: бодр, перезагруз; Здоровая спина: грудной отдел, позвоноч; Всё тело: всего тела</x:t>
  </x:si>
  <x:si>
    <x:t xml:space="preserve">https://youtu.be/3d9zsn1-Q_I?si=Ye2IZhfIbew5BJLJ</x:t>
  </x:si>
  <x:si>
    <x:t xml:space="preserve">Зарядка; Здоровая спина; Всё тело</x:t>
  </x:si>
  <x:si>
    <x:t xml:space="preserve">Освоение стойки на руках с Анной Лунеговой</x:t>
  </x:si>
  <x:si>
    <x:t xml:space="preserve">*Подготовка к стойке на руках от Material.*
Стоять на руках совсем не обязательно, просто выполни короткий, бодрый комплекс, который сделает тебя сильнее и приблизит к стойке</x:t>
  </x:si>
  <x:si>
    <x:t xml:space="preserve">Зарядка; Балансы на руках</x:t>
  </x:si>
  <x:si>
    <x:t xml:space="preserve">Зарядка: бодр; Балансы на руках: стойки на рук, стойке на рук</x:t>
  </x:si>
  <x:si>
    <x:t xml:space="preserve">https://youtu.be/Z9Cb2JiIcds?si=3ExniXafyZHRO7nz</x:t>
  </x:si>
  <x:si>
    <x:t xml:space="preserve">Балансы на руках сильное тело Кор и пресс;</x:t>
  </x:si>
  <x:si>
    <x:t xml:space="preserve">ЙОГА В ЛЮБОМ МЕСТЕ БЕЗ КОВРИКА. ЙОГА СТОЯ. 17 минут.</x:t>
  </x:si>
  <x:si>
    <x:t xml:space="preserve">Эту практику вы можете выполнять где угодно и когда угодно.
Не обязательно быть босиком, вам не нужен коврик. В лесу, в горах, в офисе - везде, где вы почувствовали необходимость подвигаться 🪄</x:t>
  </x:si>
  <x:si>
    <x:t xml:space="preserve">https://youtu.be/2bjPKPakr4g?si=hSaIjyVB50kQM_X2</x:t>
  </x:si>
  <x:si>
    <x:t xml:space="preserve">Зарядка; Всё тело </x:t>
  </x:si>
  <x:si>
    <x:t xml:space="preserve">Разминка стоя. Зарядка. Разогрев</x:t>
  </x:si>
  <x:si>
    <x:t xml:space="preserve">Благодаря такой разминке всего тела ты поможешь сердцу работать быстрее и мягко разбудишь все мышцы тела</x:t>
  </x:si>
  <x:si>
    <x:t xml:space="preserve">Расслабление; Зарядка; Всё тело</x:t>
  </x:si>
  <x:si>
    <x:t xml:space="preserve">Расслабление: мягк; Зарядка: зарядк, разминк, разогрев; Всё тело: всего тела</x:t>
  </x:si>
  <x:si>
    <x:t xml:space="preserve">https://youtu.be/_lcY1NQ27ZU?si=gDZfUAZ5uxTmh6Hg</x:t>
  </x:si>
  <x:si>
    <x:t xml:space="preserve">Зарядка; Всё тело</x:t>
  </x:si>
  <x:si>
    <x:t xml:space="preserve">Мягкий комплекс для тела | Тренировка когда нет сил</x:t>
  </x:si>
  <x:si>
    <x:t xml:space="preserve">Несложный комплекс упражнений поможет встать на коврик и приятно размяться даже если сил совсем нет</x:t>
  </x:si>
  <x:si>
    <x:t xml:space="preserve">https://youtu.be/BwtA5S45bW8?si=zm1Oz48gYiANnUE6</x:t>
  </x:si>
  <x:si>
    <x:t xml:space="preserve">Расслабление; Всё тело</x:t>
  </x:si>
  <x:si>
    <x:t xml:space="preserve">Мягкая йога в критические дни. Йога для расслабления</x:t>
  </x:si>
  <x:si>
    <x:t xml:space="preserve">Данную практику можно выполнять во время критических дней, вечером для расслабления перед сном, или когда нет энергии на силовую тренировку, и хочется просто побыть наедине с собой</x:t>
  </x:si>
  <x:si>
    <x:t xml:space="preserve">Сила; Расслабление</x:t>
  </x:si>
  <x:si>
    <x:t xml:space="preserve">Сила: силов; Расслабление: мягк, перед сном, расслаб</x:t>
  </x:si>
  <x:si>
    <x:t xml:space="preserve">https://youtu.be/eBZ-HH51JRM?si=iBn8pxLff0xxSelU</x:t>
  </x:si>
  <x:si>
    <x:t xml:space="preserve">ЙОГА для СИЛЫ РУК.108 ЧАТУРАНГ. 28 мин.</x:t>
  </x:si>
  <x:si>
    <x:t xml:space="preserve">Практика направлена на развитие силы рук и плечевого пояса, повышения выносливости и концентрации</x:t>
  </x:si>
  <x:si>
    <x:t xml:space="preserve">Сила: вынослив, силы</x:t>
  </x:si>
  <x:si>
    <x:t xml:space="preserve">https://youtu.be/89GTzsBLwhw?si=TlGXdb3oTiIROqCR</x:t>
  </x:si>
  <x:si>
    <x:t xml:space="preserve">сильное тело, Кор и пресс; Балансы на руках;</x:t>
  </x:si>
  <x:si>
    <x:t xml:space="preserve">yoga</x:t>
  </x:si>
  <x:si>
    <x:t xml:space="preserve">ХАТХА ЙОГА - сбалансированный класс с Софьей Полтавец</x:t>
  </x:si>
  <x:si>
    <x:t xml:space="preserve">Начнем с сбалансированной практики от йога-студии HOLY, которая поможет прочувствовать все тело. 
Ее можно сделать утром или в перерыве между делами</x:t>
  </x:si>
  <x:si>
    <x:t xml:space="preserve">Всё тело: все тело, сбалансирован</x:t>
  </x:si>
  <x:si>
    <x:t xml:space="preserve">https://youtu.be/2s0T9z9v-aQ?si=iz9MFOjmm7Y9Sd9a</x:t>
  </x:si>
  <x:si>
    <x:t xml:space="preserve"> Зарядка; Всё тело</x:t>
  </x:si>
  <x:si>
    <x:t xml:space="preserve">ЙОГА ДЛЯ ЗДОРОВЬЯ ШЕИ И ПЛЕЧ. Расслабление шейно-воротниковой зоны</x:t>
  </x:si>
  <x:si>
    <x:t xml:space="preserve">Милки Веган будет тут очень часто, у нее большая коллекция видео короткого формата, понятных, разнообразных и для всех уровней. 
Сегодня мягкая практика *для шеи и плеч*. Ее можно выполнять без коврика, даже в офисе или в кровати, главное найти положение с прямой спиной. Особенно полезна, если ты много сидишь</x:t>
  </x:si>
  <x:si>
    <x:t xml:space="preserve">Расслабление; Здоровая спина</x:t>
  </x:si>
  <x:si>
    <x:t xml:space="preserve">Расслабление: мягк, расслаб; Здоровая спина: спин, шеи, шейн</x:t>
  </x:si>
  <x:si>
    <x:t xml:space="preserve">https://youtu.be/mj9mzuFBWDQ?si=f8TLJ1AyoKPYCuQ2</x:t>
  </x:si>
  <x:si>
    <x:t xml:space="preserve">Тренировка на пресс с таймером</x:t>
  </x:si>
  <x:si>
    <x:t xml:space="preserve">Приглашаю тебя посвятить внимание мышцам кора всего 11 минут!
Почувствуй себя живым и энергичным 🔋</x:t>
  </x:si>
  <x:si>
    <x:t xml:space="preserve">Кор и пресс: кора, пресс</x:t>
  </x:si>
  <x:si>
    <x:t xml:space="preserve">https://youtu.be/mBYam9v13dk?si=28uQVl6RUriEMtE8</x:t>
  </x:si>
  <x:si>
    <x:t xml:space="preserve">Йога-зарядка за 15 мин</x:t>
  </x:si>
  <x:si>
    <x:t xml:space="preserve">Позанимаемся вместе?</x:t>
  </x:si>
  <x:si>
    <x:t xml:space="preserve">Зарядка</x:t>
  </x:si>
  <x:si>
    <x:t xml:space="preserve">Зарядка: зарядк</x:t>
  </x:si>
  <x:si>
    <x:t xml:space="preserve">https://youtu.be/Qlt_RLDv-GY?si=DFQ5CT25aP_GS_Az</x:t>
  </x:si>
  <x:si>
    <x:t xml:space="preserve">Йога на каждое утро, когда совсем нет времени.</x:t>
  </x:si>
  <x:si>
    <x:t xml:space="preserve">Эта малышка часто выручает в утренней спешке, после долгой дороги, в обеденный перерыв..*6 минут* можно выделить практически в любом дне, при этом наградить себя ощущением удовлетворения и легкости в теле ммм..</x:t>
  </x:si>
  <x:si>
    <x:t xml:space="preserve">Зарядка: утрен</x:t>
  </x:si>
  <x:si>
    <x:t xml:space="preserve">https://youtu.be/Fi7hWgohf4A?si=_mlTOrlfQ9CdF2Ep</x:t>
  </x:si>
  <x:si>
    <x:t xml:space="preserve">Интенсивная виньяса-йога</x:t>
  </x:si>
  <x:si>
    <x:t xml:space="preserve">В субботу хочется зажигать вместе с Вероникой! 
Развивать силу и выносливость с помощью йоги реально, не веришь? Вставай на коврик и проверяй!</x:t>
  </x:si>
  <x:si>
    <x:t xml:space="preserve">Сила: вынослив, интенсив</x:t>
  </x:si>
  <x:si>
    <x:t xml:space="preserve">https://youtu.be/rnvcUIBdfaw?si=7HYF4HnMZ-LbmJE1</x:t>
  </x:si>
  <x:si>
    <x:t xml:space="preserve">не проверено</x:t>
  </x:si>
  <x:si>
    <x:t xml:space="preserve">сильное тело ; Зарядка, все тело, сильные ноги </x:t>
  </x:si>
  <x:si>
    <x:t xml:space="preserve">БЕРЕЖНАЯ ЙОГА РАСТЯЖКА</x:t>
  </x:si>
  <x:si>
    <x:t xml:space="preserve">Сегодня воскресенье, а значит, пора расслабиться и восстановить ресурс. Эта практика поможет снять напряжение ума и тела, избавиться от стресса, усталости и набраться энергии🔋</x:t>
  </x:si>
  <x:si>
    <x:t xml:space="preserve">Расслабление: бережн, расслаб, стресс; Растяжка: растяж</x:t>
  </x:si>
  <x:si>
    <x:t xml:space="preserve">https://youtu.be/9DsaspigouA?si=sIi2TJ_nfxQAnt8J</x:t>
  </x:si>
  <x:si>
    <x:t xml:space="preserve">нужно ли все тело?</x:t>
  </x:si>
  <x:si>
    <x:t xml:space="preserve">Короткая йога на все тело</x:t>
  </x:si>
  <x:si>
    <x:t xml:space="preserve">Приглашаю тебя на коврик 🧡</x:t>
  </x:si>
  <x:si>
    <x:t xml:space="preserve">Всё тело: все тело</x:t>
  </x:si>
  <x:si>
    <x:t xml:space="preserve">https://youtu.be/xHyYLTLx1Ug?si=Ejb7zrbRxIUkvxBR</x:t>
  </x:si>
  <x:si>
    <x:t xml:space="preserve">ЙОГА ДЛЯ КОРОЛЕВСКОЙ ОСАНКИ</x:t>
  </x:si>
  <x:si>
    <x:t xml:space="preserve">Пора поработать с осанкой! 
Тут понадобятся блоки, можно заменить книгами. Если нечем заменить, упражнения с блоками можно пропустить.  
*Прямая спина* - это про силу и свободу тела</x:t>
  </x:si>
  <x:si>
    <x:t xml:space="preserve">Здоровая спина: осанк, спин</x:t>
  </x:si>
  <x:si>
    <x:t xml:space="preserve">https://youtu.be/LP9MCVwSGKM?si=83wdvpV_iki10M1g</x:t>
  </x:si>
  <x:si>
    <x:t xml:space="preserve">Здоровая спина зарядка</x:t>
  </x:si>
  <x:si>
    <x:t xml:space="preserve">йога для любого уровня с Екатериной Сорокиной</x:t>
  </x:si>
  <x:si>
    <x:t xml:space="preserve">10 базовых асан на 10 циклов дыханий в каждой. 
Фокусирует внимание на дыхании, ощущениях в теле и успокаивает нервную систему.
Если знаешь дыхание уджаи, включай его</x:t>
  </x:si>
  <x:si>
    <x:t xml:space="preserve">https://youtu.be/PVyNqMdSCB0?si=SnXETkGZAzSziH74</x:t>
  </x:si>
  <x:si>
    <x:t xml:space="preserve">Релакс-йога для всех</x:t>
  </x:si>
  <x:si>
    <x:t xml:space="preserve">Добавь в рабочую неделю приятностей.
Вероника бережно проведет тебя в мир движения 🫂</x:t>
  </x:si>
  <x:si>
    <x:t xml:space="preserve">Расслабление: бережн, релакс</x:t>
  </x:si>
  <x:si>
    <x:t xml:space="preserve">https://youtu.be/h7IpZlje7io?si=_6D44okepSamgk2s</x:t>
  </x:si>
  <x:si>
    <x:t xml:space="preserve">Комплекс от отеков | Убираем лишнюю воду💦</x:t>
  </x:si>
  <x:si>
    <x:t xml:space="preserve">Сегодня практика от *отеков*! 
Почувствуй энергичность, позволь ей разогнать застоявшееся</x:t>
  </x:si>
  <x:si>
    <x:t xml:space="preserve">https://youtu.be/yqlXohbLxgs?si=X8RLKjudL3x82Zje</x:t>
  </x:si>
  <x:si>
    <x:t xml:space="preserve"> Зарядка </x:t>
  </x:si>
  <x:si>
    <x:t xml:space="preserve">ЙОГА С АКЦЕНТОМ НА ПОЗЫ СТОЯ</x:t>
  </x:si>
  <x:si>
    <x:t xml:space="preserve">*Асаны в позах стоя*
Cпециально для тех, кто любит позы воина, чтобы твердо выстоять на ногах!
Не забывай про дыхание Уджаи, оно помогает снять напряжение и расслабиться там, где это кажется невозможным.</x:t>
  </x:si>
  <x:si>
    <x:t xml:space="preserve">Расслабление: расслаб</x:t>
  </x:si>
  <x:si>
    <x:t xml:space="preserve">https://youtu.be/9pGvqu7qddY?si=vVDC37U_g0XC_my0</x:t>
  </x:si>
  <x:si>
    <x:t xml:space="preserve">сильные ноги, все тело, сильное тело </x:t>
  </x:si>
  <x:si>
    <x:t xml:space="preserve">ЙОГА-РАСТЯЖКА на ВСЁ ТЕЛО</x:t>
  </x:si>
  <x:si>
    <x:t xml:space="preserve">Ты молодец, что заглянул ко мне в выходной! 
Вот твоя награда</x:t>
  </x:si>
  <x:si>
    <x:t xml:space="preserve">Растяжка: растяж; Всё тело: всё тело</x:t>
  </x:si>
  <x:si>
    <x:t xml:space="preserve">https://youtu.be/OiILMgw9s4E?si=c9SSpwlmXnXKEbwt</x:t>
  </x:si>
  <x:si>
    <x:t xml:space="preserve">Растяжка; Всё тело, расслабление</x:t>
  </x:si>
  <x:si>
    <x:t xml:space="preserve">варианты Сурья Намаскар, Приветствия Солнцу ☀️</x:t>
  </x:si>
  <x:si>
    <x:t xml:space="preserve">*Сурья Намаскар* идеально подходит для начала недели ☀️
Это популярная последовательность в йоге, она соединяет движение и дыхание в плавный ритм, превращая практику в медитацию в движении. Переводится как *Приветствие солнцу* и имеет много различных вариаций</x:t>
  </x:si>
  <x:si>
    <x:t xml:space="preserve">https://youtu.be/GwfM-zUZr58?si=IThDtz_AS70XTJSc</x:t>
  </x:si>
  <x:si>
    <x:t xml:space="preserve">Йога для Здоровой спины за 15 мин</x:t>
  </x:si>
  <x:si>
    <x:t xml:space="preserve">«Мед» для твоей спины</x:t>
  </x:si>
  <x:si>
    <x:t xml:space="preserve">Здоровая спина: спин</x:t>
  </x:si>
  <x:si>
    <x:t xml:space="preserve">https://youtu.be/_GHq761-34Q?si=aRn8YdvveSZIi7IA</x:t>
  </x:si>
  <x:si>
    <x:t xml:space="preserve">Табата тренировка кора</x:t>
  </x:si>
  <x:si>
    <x:t xml:space="preserve">Даже 9 минут движения - это вклад в себя. Практика на *кор* уже ждёт тебя!</x:t>
  </x:si>
  <x:si>
    <x:t xml:space="preserve">Сила; Кор и пресс</x:t>
  </x:si>
  <x:si>
    <x:t xml:space="preserve">Сила: табата; Кор и пресс: кор, кора</x:t>
  </x:si>
  <x:si>
    <x:t xml:space="preserve">https://youtu.be/MECnpjoIcpM?si=h0SmmE-Ra7eUe0f4</x:t>
  </x:si>
  <x:si>
    <x:t xml:space="preserve">ПРОСТАЯ ЙОГА для УКРЕПЛЕНИЯ ЗАПЯСТИЙ</x:t>
  </x:si>
  <x:si>
    <x:t xml:space="preserve">Стойки на руках так и манят, но не спеши! Сначала укрепим  *запястья*, ведь без них мы далеко не уйдем, особенно на руках..</x:t>
  </x:si>
  <x:si>
    <x:t xml:space="preserve">Сила; Балансы на руках</x:t>
  </x:si>
  <x:si>
    <x:t xml:space="preserve">Сила: укреп; Балансы на руках: стойки на рук</x:t>
  </x:si>
  <x:si>
    <x:t xml:space="preserve">https://youtu.be/VV5NfjAN35M?si=BsvbNWSzV686Nh6Z</x:t>
  </x:si>
  <x:si>
    <x:t xml:space="preserve">Балансы на руках, зарядка</x:t>
  </x:si>
  <x:si>
    <x:t xml:space="preserve">ЗАРЯДКА СТОЯ | БЕЗ КОВРИКА</x:t>
  </x:si>
  <x:si>
    <x:t xml:space="preserve">Иногда всё, что нужно это напомнить телу, что оно живое. 
*Короткая зарядка* - идеальное напоминание об этом, ее можно делать даже в офисе!
Начнем прямо сейчас?</x:t>
  </x:si>
  <x:si>
    <x:t xml:space="preserve">https://youtu.be/0-GTu91EWz4?si=iZclpYXS5hdpJZR_</x:t>
  </x:si>
  <x:si>
    <x:t xml:space="preserve">Йога · Баланс на руках · Аштавакрасана</x:t>
  </x:si>
  <x:si>
    <x:t xml:space="preserve">Начнем выходные с кайфом, а точнее - с баланса на руках! 
Приглашаю выполнить со strello4ka короткий, бодрый комплекс, который сделает тебя сильнее и приблизит к Аштавакрасане</x:t>
  </x:si>
  <x:si>
    <x:t xml:space="preserve">Зарядка: бодр; Балансы на руках: баланс на рук, баланса на рук, аштавакрас</x:t>
  </x:si>
  <x:si>
    <x:t xml:space="preserve">https://youtu.be/Ewd1nQk1yfY</x:t>
  </x:si>
  <x:si>
    <x:t xml:space="preserve">Зарядка; Балансы на руках, сильное тело все тело</x:t>
  </x:si>
  <x:si>
    <x:t xml:space="preserve">ЙОГА ДЛЯ СЧАСТЛИВЫХ ПЛЕЧ И ЛОПАТОК</x:t>
  </x:si>
  <x:si>
    <x:t xml:space="preserve">Наши плечики устали, хорошенько разомнем их!</x:t>
  </x:si>
  <x:si>
    <x:t xml:space="preserve">Здоровая спина: лопат</x:t>
  </x:si>
  <x:si>
    <x:t xml:space="preserve">https://youtu.be/qg1HuNRrBLc?si=Dw8p5n-_go4EgB2k</x:t>
  </x:si>
  <x:si>
    <x:t xml:space="preserve">Здоровая спина сильное тело Зарядка</x:t>
  </x:si>
  <x:si>
    <x:t xml:space="preserve">Экспресс йога на все тело</x:t>
  </x:si>
  <x:si>
    <x:t xml:space="preserve">Приглашаю начать новую неделю с короткой, но активной практики. 
С каждым движением появляется чуть больше воздуха, пространства, свободы ✨
Выполняй практику в любой момент дня, когда захочешь взбодриться</x:t>
  </x:si>
  <x:si>
    <x:t xml:space="preserve">Зарядка: бодр; Всё тело: все тело</x:t>
  </x:si>
  <x:si>
    <x:t xml:space="preserve">https://youtu.be/m51WCqVm3H4?si=dWYwmy_zbkwEnknc</x:t>
  </x:si>
  <x:si>
    <x:t xml:space="preserve">ЙОГА для КРАСИВОЙ ОСАНКИ</x:t>
  </x:si>
  <x:si>
    <x:t xml:space="preserve">*Сегодня - день здоровья.*
А именно: работа с осанкой, раскрытие грудной клетки, укрепление спины и улучшение мобильности в плечах. 
PS. Для занятия тебе понадобится ремешок для йоги, можно заменить ремнем для одежды/шарфом</x:t>
  </x:si>
  <x:si>
    <x:t xml:space="preserve">Сила: укреп; Растяжка: мобил; Здоровая спина: осанк, спин</x:t>
  </x:si>
  <x:si>
    <x:t xml:space="preserve">https://youtu.be/KlApsNb-OYk?si=WVX2MNC47xk4FBWa</x:t>
  </x:si>
  <x:si>
    <x:t xml:space="preserve">Здоровая спина зярядка растяжка</x:t>
  </x:si>
  <x:si>
    <x:t xml:space="preserve">Power Yoga с Рушаной Цапкиной</x:t>
  </x:si>
  <x:si>
    <x:t xml:space="preserve">Огненная практика для каменного *пресса*. 
Когда 10 минут ощущаются, как вечность..
Совет: Останавливайся в процессе и выдыхай столько раз, сколько хочется и добавь в конце короткую шавасану в качестве награды</x:t>
  </x:si>
  <x:si>
    <x:t xml:space="preserve">Сила: power; Кор и пресс: пресс</x:t>
  </x:si>
  <x:si>
    <x:t xml:space="preserve">https://youtu.be/tyuK3otNBiA?si=WVXgJMVoo9JC0MQR</x:t>
  </x:si>
  <x:si>
    <x:t xml:space="preserve">Йога любимая</x:t>
  </x:si>
  <x:si>
    <x:t xml:space="preserve">Все самое любимое в этой практике! 
Прошу прощения за проблемы со звуком</x:t>
  </x:si>
  <x:si>
    <x:t xml:space="preserve">https://youtu.be/go1OJXlcsmc?si=TIONZfeITI2V_GBo</x:t>
  </x:si>
  <x:si>
    <x:t xml:space="preserve">зарядка все тело</x:t>
  </x:si>
  <x:si>
    <x:t xml:space="preserve">зарядка в кровати</x:t>
  </x:si>
  <x:si>
    <x:t xml:space="preserve">Не можешь вылезти из кровати? Тогда эта практика точно для тебя! Кайфовая, *для самых ленивых дней*.
Отлично впишется как утром так и перед сном</x:t>
  </x:si>
  <x:si>
    <x:t xml:space="preserve">Расслабление; Зарядка</x:t>
  </x:si>
  <x:si>
    <x:t xml:space="preserve">Расслабление: перед сном; Зарядка: зарядк</x:t>
  </x:si>
  <x:si>
    <x:t xml:space="preserve">https://www.youtube.com/watch?v=0s7MqJyhVlU&amp;list=PLLKzf_MAjjGaVn-FuAO2N0l5Thf-A9AY3&amp;index=2&amp;t=488s</x:t>
  </x:si>
  <x:si>
    <x:t xml:space="preserve">VINYASA YOGA С АНИКО: кайфануть на коврике</x:t>
  </x:si>
  <x:si>
    <x:t xml:space="preserve">Сегодня не нужно ничего выбирать, *просто нажми Play* и почувствуй тело через движение!
Виньяса флоу для сильного, гибкого, энергичного тела!!</x:t>
  </x:si>
  <x:si>
    <x:t xml:space="preserve">Растяжка: гибк</x:t>
  </x:si>
  <x:si>
    <x:t xml:space="preserve">https://www.youtube.com/watch?v=0uGfgIKUN-k&amp;list=PLLKzf_MAjjGa4JV9zoKVLXmu9W0NAFH5b&amp;index=12&amp;t=966s</x:t>
  </x:si>
  <x:si>
    <x:t xml:space="preserve">РАСКРЫТИЕ ТАЗОБЕДРЕННЫХ СУСТАВОВ</x:t>
  </x:si>
  <x:si>
    <x:t xml:space="preserve">Спокойная, но довольно глубокая практика на раскрытие тазобедренных суставов. 
При выполнении *внимательно следи за своими коленями*, при любом дискомфорте упрощай положение, пока дискомфорт не уйдет</x:t>
  </x:si>
  <x:si>
    <x:t xml:space="preserve">Расслабление; ТБС и шпагаты</x:t>
  </x:si>
  <x:si>
    <x:t xml:space="preserve">Расслабление: спокойн; ТБС и шпагаты: бедр, тазобедр</x:t>
  </x:si>
  <x:si>
    <x:t xml:space="preserve">https://youtu.be/yd0QX0xlNt4?si=NgNhhVfQ674RyAcp</x:t>
  </x:si>
  <x:si>
    <x:t xml:space="preserve">Расслабление; ТБС и шпагаты рястяжка</x:t>
  </x:si>
  <x:si>
    <x:t xml:space="preserve">Йога-разминка после перелета с Яной Ли</x:t>
  </x:si>
  <x:si>
    <x:t xml:space="preserve">Эта практика позволит вернуть себе приятное тело через простые и маленькие, но очень важные движения</x:t>
  </x:si>
  <x:si>
    <x:t xml:space="preserve">Зарядка: разминк</x:t>
  </x:si>
  <x:si>
    <x:t xml:space="preserve">https://youtu.be/FEPDGzMvjHM?si=-gnQsiavSX3iIvz-</x:t>
  </x:si>
  <x:si>
    <x:t xml:space="preserve">ЙОГА для ОСАНКИ. Раскрытие грудного отдела</x:t>
  </x:si>
  <x:si>
    <x:t xml:space="preserve">Дай телу внимание, которого оно заслуживает 💙</x:t>
  </x:si>
  <x:si>
    <x:t xml:space="preserve">Здоровая спина: грудного отдел, осанк</x:t>
  </x:si>
  <x:si>
    <x:t xml:space="preserve">https://youtu.be/c6fEblKXEIA?si=enNi9AKy7pj0iTA0</x:t>
  </x:si>
  <x:si>
    <x:t xml:space="preserve">Йога-зарядка · Наклоны</x:t>
  </x:si>
  <x:si>
    <x:t xml:space="preserve">Короткая активная зарядка с акцентом на *наклоны*</x:t>
  </x:si>
  <x:si>
    <x:t xml:space="preserve">Зарядка; Растяжка</x:t>
  </x:si>
  <x:si>
    <x:t xml:space="preserve">Зарядка: зарядк; Растяжка: наклон</x:t>
  </x:si>
  <x:si>
    <x:t xml:space="preserve">https://youtu.be/uGeMFzLzhT0?si=Cx666d_IFK1krQRX</x:t>
  </x:si>
  <x:si>
    <x:t xml:space="preserve">Зарядка; Растяжка ТБС и шпагаты;</x:t>
  </x:si>
  <x:si>
    <x:t xml:space="preserve">Правильная тренировка кора в планке</x:t>
  </x:si>
  <x:si>
    <x:t xml:space="preserve">Разогреваем *мышцы кора* в практике!
Не забывай держать во внимании соединение движения с дыханием</x:t>
  </x:si>
  <x:si>
    <x:t xml:space="preserve">Зарядка; Кор и пресс</x:t>
  </x:si>
  <x:si>
    <x:t xml:space="preserve">Зарядка: разогрев; Кор и пресс: кора, планк</x:t>
  </x:si>
  <x:si>
    <x:t xml:space="preserve">https://youtu.be/gP-0gdm-6uQ?si=-Siq5Ib-gtsAWXjQ</x:t>
  </x:si>
  <x:si>
    <x:t xml:space="preserve">ЙОГА 5-тиминутка, чтобы почувствовать связь с собой, когда нет времени</x:t>
  </x:si>
  <x:si>
    <x:t xml:space="preserve">Сегодня коротенькая, но эффективная практика. Даже несколько минут движения - это большая забота о себе</x:t>
  </x:si>
  <x:si>
    <x:t xml:space="preserve">https://youtu.be/LFzCZmkmDVE?si=BOD2CNc6zwhqtdWd</x:t>
  </x:si>
  <x:si>
    <x:t xml:space="preserve">Лучше ежедневно по 10-20 мин, чем ни разу 1,5 часа 🌀</x:t>
  </x:si>
  <x:si>
    <x:t xml:space="preserve">Балансы на руках</x:t>
  </x:si>
  <x:si>
    <x:t xml:space="preserve">Балансы на руках: баланс на рук, аштавакрас</x:t>
  </x:si>
  <x:si>
    <x:t xml:space="preserve">https://youtu.be/Ewd1nQk1yfY?si=fmTKVvBg1N53xjps</x:t>
  </x:si>
  <x:si>
    <x:t xml:space="preserve">Jivamukti Yoga. Вечерняя практика с Марией Гулидой</x:t>
  </x:si>
  <x:si>
    <x:t xml:space="preserve">Открой видео и почувствуй, как напряжение растворяется</x:t>
  </x:si>
  <x:si>
    <x:t xml:space="preserve">Расслабление: вечерн</x:t>
  </x:si>
  <x:si>
    <x:t xml:space="preserve">https://youtu.be/4fKPFVV5IL4?si=ubOp1R9Jo8wI4Yez</x:t>
  </x:si>
  <x:si>
    <x:t xml:space="preserve">Расслабление все тело</x:t>
  </x:si>
  <x:si>
    <x:t xml:space="preserve">Функциональная йога-зарядка</x:t>
  </x:si>
  <x:si>
    <x:t xml:space="preserve">Можешь делать практику в любой момент дня, когда захочешь переключиться</x:t>
  </x:si>
  <x:si>
    <x:t xml:space="preserve">https://youtu.be/j_DkwY7mQck?si=XZPk--0yLc5lEjx6</x:t>
  </x:si>
  <x:si>
    <x:t xml:space="preserve">ЗДОРОВЫЙ ПОЗВОНОЧНИК. ЙОГА ДЛЯ СПИНЫ БЕЗ БОЛИ</x:t>
  </x:si>
  <x:si>
    <x:t xml:space="preserve">Каждую неделю я присылаю практику посвященную здоровью твоей спины. Ведь регулярность - это главное</x:t>
  </x:si>
  <x:si>
    <x:t xml:space="preserve">Здоровая спина: позвоноч, спин</x:t>
  </x:si>
  <x:si>
    <x:t xml:space="preserve">https://youtu.be/73MLpw4CMQs?si=1oh6uZMrfg3Xu5gJ</x:t>
  </x:si>
  <x:si>
    <x:t xml:space="preserve">Табата тренировка на пресс</x:t>
  </x:si>
  <x:si>
    <x:t xml:space="preserve">*Табата* - это высокоинтенсивные интервальные тренировки направленные на быстрое развитие выносливости и сжигание жира где 20с активной работы сменяются 10с отдыха. 
Выполняй столько кругов, на сколько хватит твоих сил!</x:t>
  </x:si>
  <x:si>
    <x:t xml:space="preserve">Сила: вынослив, интенсив, табата; Кор и пресс: пресс</x:t>
  </x:si>
  <x:si>
    <x:t xml:space="preserve">https://youtu.be/ppI2FMiXjxo?si=_cF9vPDYOyLt4LwY</x:t>
  </x:si>
  <x:si>
    <x:t xml:space="preserve">кор и пресс</x:t>
  </x:si>
  <x:si>
    <x:t xml:space="preserve">Пробуждающая виньяса йога на все тело</x:t>
  </x:si>
  <x:si>
    <x:t xml:space="preserve">Осторожно! Эти потягушки вызывают привыкание</x:t>
  </x:si>
  <x:si>
    <x:t xml:space="preserve">Зарядка: пробуж; Всё тело: все тело</x:t>
  </x:si>
  <x:si>
    <x:t xml:space="preserve">https://youtu.be/HL6ztNRCT1w?si=QdKq32fpIHX-dqFC</x:t>
  </x:si>
  <x:si>
    <x:t xml:space="preserve">Утренняя 3D зарядка на все тело</x:t>
  </x:si>
  <x:si>
    <x:t xml:space="preserve">Сегодня подвигаемся и поскручиваемся в разных плоскостях. 
Такое движение может ощущаться как немного странная и новая нагрузка.
А все новое заставляет наше *внимание включаться на максимум и помогает быть здесь*</x:t>
  </x:si>
  <x:si>
    <x:t xml:space="preserve">Зарядка: зарядк, утрен; Всё тело: все тело</x:t>
  </x:si>
  <x:si>
    <x:t xml:space="preserve">https://youtu.be/PIBa9Gc7fgk?si=i3MRE0FWVjd9x7Rx</x:t>
  </x:si>
  <x:si>
    <x:t xml:space="preserve">ЙОГА ФЛОУ с акцентом на ГРУДНОЙ ОТДЕЛ</x:t>
  </x:si>
  <x:si>
    <x:t xml:space="preserve">Выходные начинаем с активного занятия, чтобы сделать тело сильным и гибким. Поработаем над укреплением мышц рук, ног, спины и ,конечно же, силы воли!</x:t>
  </x:si>
  <x:si>
    <x:t xml:space="preserve">Сила: силы, укреп; Растяжка: гибк; Здоровая спина: грудной отдел, спин</x:t>
  </x:si>
  <x:si>
    <x:t xml:space="preserve">https://youtu.be/FuanQVi2tOk?si=xweDXSrRFpkt4DKH</x:t>
  </x:si>
  <x:si>
    <x:t xml:space="preserve"> Растяжка; Здоровая спина</x:t>
  </x:si>
  <x:si>
    <x:t xml:space="preserve">light night yoga flow</x:t>
  </x:si>
  <x:si>
    <x:t xml:space="preserve">Эта бережная и мягкая йога точно понравится твоему телу. 
Можешь выполнять ее в любое время суток</x:t>
  </x:si>
  <x:si>
    <x:t xml:space="preserve">Расслабление: бережн, мягк</x:t>
  </x:si>
  <x:si>
    <x:t xml:space="preserve">моё описание+I80:J81</x:t>
  </x:si>
  <x:si>
    <x:t xml:space="preserve">https://www.youtube.com/watch?v=iVRzIj_Bb8U&amp;list=PLLKzf_MAjjGa4JV9zoKVLXmu9W0NAFH5b&amp;index=80</x:t>
  </x:si>
  <x:si>
    <x:t xml:space="preserve">Расслабление растяжка все тело</x:t>
  </x:si>
  <x:si>
    <x:t xml:space="preserve">Йога зарядка. ПРОБУЖДЕНИЕ всего тела</x:t>
  </x:si>
  <x:si>
    <x:t xml:space="preserve">Практика отлично подойдет для утра, чтобы проснуться, или для любого другого времени суток, чтобы быстро перезагрузить все системы организма</x:t>
  </x:si>
  <x:si>
    <x:t xml:space="preserve">Зарядка: зарядк, перезагруз, пробуж; Всё тело: всего тела</x:t>
  </x:si>
  <x:si>
    <x:t xml:space="preserve">https://youtu.be/flUvBTJjziY?si=7TG1n_lAuNJFfW4_</x:t>
  </x:si>
  <x:si>
    <x:t xml:space="preserve">Йога для здоровой спины</x:t>
  </x:si>
  <x:si>
    <x:t xml:space="preserve">Плавная йога прекрасно мобилизирует и оздоравливает позвоночник. 
Жми Play и доверься дыханию!</x:t>
  </x:si>
  <x:si>
    <x:t xml:space="preserve">Растяжка; Здоровая спина</x:t>
  </x:si>
  <x:si>
    <x:t xml:space="preserve">Растяжка: мобил; Здоровая спина: позвоноч, спин</x:t>
  </x:si>
  <x:si>
    <x:t xml:space="preserve">https://youtu.be/_GHq761-34Q?si=f2CckluxEJUDlBgv</x:t>
  </x:si>
  <x:si>
    <x:t xml:space="preserve"> Здоровая спина</x:t>
  </x:si>
  <x:si>
    <x:t xml:space="preserve">ЙОГА 5-тиминутка</x:t>
  </x:si>
  <x:si>
    <x:t xml:space="preserve">Соединим голову с телом всего за 6 минут!</x:t>
  </x:si>
  <x:si>
    <x:t xml:space="preserve">https://youtu.be/JtZoZuryniM?si=K27_Wq1ThtJWOuou</x:t>
  </x:si>
  <x:si>
    <x:t xml:space="preserve">ХАТХА ЙОГА. сбалансированный класс с Софьей Полтавец</x:t>
  </x:si>
  <x:si>
    <x:t xml:space="preserve">Самое время выполнить сбалансированную практику от йога-студии HOLY, которая поможет прочувствовать все тело</x:t>
  </x:si>
  <x:si>
    <x:t xml:space="preserve">https://youtu.be/2s0T9z9v-aQ?si=ZHZ8CEsxD1tYcTcO</x:t>
  </x:si>
  <x:si>
    <x:t xml:space="preserve">Копплекс от отеков не только разгонит лимфу, но и поднимет твое настроение!</x:t>
  </x:si>
  <x:si>
    <x:t xml:space="preserve">https://youtu.be/cmc3e47N4Qw?si=1-V9RDZFMaYef8tQ</x:t>
  </x:si>
  <x:si>
    <x:t xml:space="preserve">Силовая виньяса йога</x:t>
  </x:si>
  <x:si>
    <x:t xml:space="preserve">Усталость, лень, сомнения - всё можно принести с собой на коврик.
Жду тебя там 🧡</x:t>
  </x:si>
  <x:si>
    <x:t xml:space="preserve">Сила: силов</x:t>
  </x:si>
  <x:si>
    <x:t xml:space="preserve">https://www.youtube.com/watch?v=7Bep9QyTpRo&amp;list=PLLKzf_MAjjGa4JV9zoKVLXmu9W0NAFH5b&amp;index=96</x:t>
  </x:si>
  <x:si>
    <x:t xml:space="preserve">сильное тело зарядка все тело</x:t>
  </x:si>
  <x:si>
    <x:t xml:space="preserve">ЛЕНИВЫЙ SHOT</x:t>
  </x:si>
  <x:si>
    <x:t xml:space="preserve">Йога-поток, где каждое движение улучшает подвижность суставов, раскрывает грудной отдел и грамотно удлиняет мышцы</x:t>
  </x:si>
  <x:si>
    <x:t xml:space="preserve">Растяжка: подвижн; Здоровая спина: грудной отдел</x:t>
  </x:si>
  <x:si>
    <x:t xml:space="preserve">https://youtu.be/1uF_9FtXt5A?si=N8pW3YVYYYatsMdx</x:t>
  </x:si>
  <x:si>
    <x:t xml:space="preserve">Йога-зарядка</x:t>
  </x:si>
  <x:si>
    <x:t xml:space="preserve">Неважно, утро сейчас или вечер.
Если ты читаешь это, значит, время пришло✨</x:t>
  </x:si>
  <x:si>
    <x:t xml:space="preserve">https://youtu.be/Qlt_RLDv-GY?si=DH5mq8Z54CUMxiZN</x:t>
  </x:si>
  <x:si>
    <x:t xml:space="preserve">Растяжка и расслабление спины, шеи и плеч</x:t>
  </x:si>
  <x:si>
    <x:t xml:space="preserve">Забота о шее или "как ожить за 13 минут".
Можно выполнять сидя на стуле или прямо из кровати</x:t>
  </x:si>
  <x:si>
    <x:t xml:space="preserve">Расслабление; Растяжка; Здоровая спина</x:t>
  </x:si>
  <x:si>
    <x:t xml:space="preserve">Расслабление: расслаб; Растяжка: растяж; Здоровая спина: спин, шеи</x:t>
  </x:si>
  <x:si>
    <x:t xml:space="preserve">https://youtu.be/L3D2A2ybkJk?si=CFT-kulK0lwi7MNw</x:t>
  </x:si>
  <x:si>
    <x:t xml:space="preserve">Табата тренировка в планке</x:t>
  </x:si>
  <x:si>
    <x:t xml:space="preserve">Всего 9 горячих минут, но можно не останаливаться на одном круге, а сделать 2, 3 или даже 4 круга!</x:t>
  </x:si>
  <x:si>
    <x:t xml:space="preserve">Сила: табата; Кор и пресс: планк</x:t>
  </x:si>
  <x:si>
    <x:t xml:space="preserve">https://youtu.be/MECnpjoIcpM?si=d044An89hkzerziR</x:t>
  </x:si>
  <x:si>
    <x:t xml:space="preserve">ЙОГА для сильных, подтянутых, красивых рук</x:t>
  </x:si>
  <x:si>
    <x:t xml:space="preserve">Сегодня укрепляем руки, запястья и весь плечевой пояс. 
Если в течение практики чувствуешь усталость, стряхивай с рук напряжение и делай паузы.
Погнали, у тебя получится!</x:t>
  </x:si>
  <x:si>
    <x:t xml:space="preserve">Сила: укреп</x:t>
  </x:si>
  <x:si>
    <x:t xml:space="preserve">https://youtu.be/DtUu5nRAy2o?si=cmAi47P5HA_AXXv7</x:t>
  </x:si>
  <x:si>
    <x:t xml:space="preserve">Утренняя разминка стоя у стены</x:t>
  </x:si>
  <x:si>
    <x:t xml:space="preserve">Самое время сделать суставную разминку всего тела!
Благодаря такой разминке мягко пробуждаются все мышцы, и даже коврик не нужен, можно выполнять в любом удобном месте, где есть стена</x:t>
  </x:si>
  <x:si>
    <x:t xml:space="preserve">Расслабление: мягк; Зарядка: пробуж, разминк, утрен; Всё тело: всего тела</x:t>
  </x:si>
  <x:si>
    <x:t xml:space="preserve">https://youtu.be/Z3FSoRnj_Hg?si=adHs9-f4vc_98bOG</x:t>
  </x:si>
  <x:si>
    <x:t xml:space="preserve">Jivamukti Yoga. Освоение Пинча Майюрасаны с Ксенией Уваровой</x:t>
  </x:si>
  <x:si>
    <x:t xml:space="preserve">Динамичная и бодрящая практика, которая готовит к стойке на предплечьях – *Пинче Майюрасане*
Укрепляем мышцы плеч, центра тела и работаем с гибкостью плечевых суставов. Все для того, чтобы впоследствии легче взлеталось в стойку на предплечьях!
Не забывай про дыхание Уджаи, оно помогает снять напряжение и расслабиться там, где это кажется не возможным. 
*Важно не встать на руки, а попробовать. И увидеть, что ты сильнее, чем думаешь!*</x:t>
  </x:si>
  <x:si>
    <x:t xml:space="preserve">Сила; Расслабление; Зарядка; Растяжка; Балансы на руках</x:t>
  </x:si>
  <x:si>
    <x:t xml:space="preserve">Сила: укреп; Расслабление: расслаб; Зарядка: бодр; Растяжка: гибк; Балансы на руках: стойке на предплеч, стойку на предплеч, пинч</x:t>
  </x:si>
  <x:si>
    <x:t xml:space="preserve">https://youtu.be/vSNo84ISMTQ?si=64GFrx4OZZA0JG5S</x:t>
  </x:si>
  <x:si>
    <x:t xml:space="preserve">Сильное тело; Балансы на руках</x:t>
  </x:si>
  <x:si>
    <x:t xml:space="preserve">ЙОГА ДЛЯ РАССЛАБЛЕНИЯ СПИНЫ</x:t>
  </x:si>
  <x:si>
    <x:t xml:space="preserve">Спокойная и размеренная практика с акцентом на расслабление через вытяжение мышц спины поможет снять перенапряжение, а значит уменьшит ощущение дискомфорта или боли.
Воскресенье - время замедлиться и ни о чем не думать🔋</x:t>
  </x:si>
  <x:si>
    <x:t xml:space="preserve">Расслабление: расслаб, спокойн; Растяжка: вытяж; Здоровая спина: спин</x:t>
  </x:si>
  <x:si>
    <x:t xml:space="preserve">https://youtu.be/RsMmgSqYGWg?si=XpWWJxVw6I0n0jRn</x:t>
  </x:si>
  <x:si>
    <x:t xml:space="preserve">Активная динамичная йога для всего тела</x:t>
  </x:si>
  <x:si>
    <x:t xml:space="preserve">Вау! то, что нужно, 10 минут активной работы и день станет лучше</x:t>
  </x:si>
  <x:si>
    <x:t xml:space="preserve">Всё тело: всего тела</x:t>
  </x:si>
  <x:si>
    <x:t xml:space="preserve">https://youtu.be/bSBavg3X2PQ?si=6fkq95rvoHrV2OzC</x:t>
  </x:si>
  <x:si>
    <x:t xml:space="preserve">все тело зарядка</x:t>
  </x:si>
  <x:si>
    <x:t xml:space="preserve">Пилатес упражнения для шеи. Как избавиться от холки</x:t>
  </x:si>
  <x:si>
    <x:t xml:space="preserve">Шея станет мягче, голова легче, а настроение прекрасным
Приятного занятия 🧡</x:t>
  </x:si>
  <x:si>
    <x:t xml:space="preserve">Здоровая спина: холк, шеи, шея</x:t>
  </x:si>
  <x:si>
    <x:t xml:space="preserve">https://youtu.be/K9ThbTsIuac?si=NMQIYUxUQ9tYmIs9</x:t>
  </x:si>
  <x:si>
    <x:t xml:space="preserve">Интенсивная тренировка на пресс | Тонкая талия и рельефный живот</x:t>
  </x:si>
  <x:si>
    <x:t xml:space="preserve">Усталость уходит через действие. Попробуй!
Твоя практика уже здесь</x:t>
  </x:si>
  <x:si>
    <x:t xml:space="preserve">Сила: интенсив; Кор и пресс: живот, пресс, талия</x:t>
  </x:si>
  <x:si>
    <x:t xml:space="preserve">https://youtu.be/ue3rmOr5ZGw?si=r2MZi_RB4wTM8cbR</x:t>
  </x:si>
  <x:si>
    <x:t xml:space="preserve">Тебя ждет короткая практика, которую можно сделать утром или в перерыве между делами. Она поможет включить тело и вернуть ощущение, что оно твое 🫂</x:t>
  </x:si>
  <x:si>
    <x:t xml:space="preserve">https://youtu.be/j_DkwY7mQck?si=EzH5Md7pjoeyHsnW</x:t>
  </x:si>
  <x:si>
    <x:t xml:space="preserve">ЙОГА ДЛЯ СНЯТИЯ СТРЕССА И НАПРЯЖЕНИЯ. Расслабление ума</x:t>
  </x:si>
  <x:si>
    <x:t xml:space="preserve">Один вдох - чтобы вернуться в тело.
Один выдох - чтобы отпустить напряжение.</x:t>
  </x:si>
  <x:si>
    <x:t xml:space="preserve">Расслабление: расслаб, стресс</x:t>
  </x:si>
  <x:si>
    <x:t xml:space="preserve">https://youtu.be/yO1qK_Gz1Ck?si=G_fob4xofZ5Kn5qw</x:t>
  </x:si>
  <x:si>
    <x:t xml:space="preserve">Расслабление растяжка</x:t>
  </x:si>
  <x:si>
    <x:t xml:space="preserve">ЙОГА. КОР. УКРЕПЛЕНИЕ ПРЕССА И ПОЯСНИЦЫ</x:t>
  </x:si>
  <x:si>
    <x:t xml:space="preserve">Практика направлена на *укрепление нашего кора*: мышц пресса, спины, диафрагмы и тазового дна. 
*Почему же так важно укреплять данные группы мышц?* 
Основной и самой главной функцией мышц кора является стабилизация и защита наших внутренних органов и скелета.
Еще кор и его мышцы отвечают за:
- Правильное распределение нагрузки при подъёме тяжестей, перемене положения тела, подъёме, беге и ходьбе
- Здоровье позвоночника и суставов
- Красивую ровную осанку и форму грудной клетки
- Баланс и равновесие тела
- Уровень силы, выносливости и гибкости организма
- Защиту от травматизма при чрезмерных нагрузках</x:t>
  </x:si>
  <x:si>
    <x:t xml:space="preserve">Сила; Зарядка; Растяжка; Здоровая спина; Кор и пресс; ТБС и шпагаты</x:t>
  </x:si>
  <x:si>
    <x:t xml:space="preserve">Сила: вынослив, силы, укреп; Зарядка: утрен; Растяжка: гибк; Здоровая спина: осанк, позвоноч, поясниц, спин; Кор и пресс: кор, кора, пресс, тазового дна; ТБС и шпагаты: тазов</x:t>
  </x:si>
  <x:si>
    <x:t xml:space="preserve">https://youtu.be/jk1-tYY99xs?si=YULpJ4vj52Ao4Y1V</x:t>
  </x:si>
  <x:si>
    <x:t xml:space="preserve">Йога на расслабление передней и задней Поверхности бедра</x:t>
  </x:si>
  <x:si>
    <x:t xml:space="preserve">Эта медленная и мягкая релакс-йога идеальна, как вечерняя практика. Но и в другое время суток отлично подойдет, чтобы избавиться от стресса и напряжения после долгой рабочей недели</x:t>
  </x:si>
  <x:si>
    <x:t xml:space="preserve">Расслабление: вечерн, медлен, мягк, расслаб, релакс, стресс; ТБС и шпагаты: бедр</x:t>
  </x:si>
  <x:si>
    <x:t xml:space="preserve">https://youtu.be/tsmjUC8oAQM</x:t>
  </x:si>
  <x:si>
    <x:t xml:space="preserve">Расслабление; растяжкаТБС и шпагаты</x:t>
  </x:si>
  <x:si>
    <x:t xml:space="preserve">ЙОГА ЗАРЯДКА</x:t>
  </x:si>
  <x:si>
    <x:t xml:space="preserve">Никаких планов. Никаких целей. Просто коврик, дыхание и ты 🧘‍♂️</x:t>
  </x:si>
  <x:si>
    <x:t xml:space="preserve">https://youtu.be/z5BqUk9iKSA?si=DPj13rno2b9mI9sV</x:t>
  </x:si>
  <x:si>
    <x:t xml:space="preserve">Комплекс для красивой и ровной осанки</x:t>
  </x:si>
  <x:si>
    <x:t xml:space="preserve">Комплекс для раскрытия грудного отдела, завернутых плеч и укрепления спины поможет обрести легкость в спине и избавиться от дискомфорта</x:t>
  </x:si>
  <x:si>
    <x:t xml:space="preserve">Сила; Здоровая спина</x:t>
  </x:si>
  <x:si>
    <x:t xml:space="preserve">Сила: укреп; Здоровая спина: грудного отдел, осанк, спин</x:t>
  </x:si>
  <x:si>
    <x:t xml:space="preserve">https://youtu.be/MCH3yKnsTeg?si=0UQBScB0CtjZMiZq</x:t>
  </x:si>
  <x:si>
    <x:t xml:space="preserve">Силовая йога-разминка в дорогу с Яной Ли</x:t>
  </x:si>
  <x:si>
    <x:t xml:space="preserve">Тебя ждут волшебные 7 минут интенсивной йога-разминки с акцентом на кор ✨</x:t>
  </x:si>
  <x:si>
    <x:t xml:space="preserve">Сила; Зарядка; Кор и пресс</x:t>
  </x:si>
  <x:si>
    <x:t xml:space="preserve">Сила: интенсив, силов; Зарядка: разминк; Кор и пресс: кор</x:t>
  </x:si>
  <x:si>
    <x:t xml:space="preserve">https://youtu.be/QWtI2nUTf-E?si=SGSdF-tbPI__JhEO</x:t>
  </x:si>
  <x:si>
    <x:t xml:space="preserve">Йога с акцентом на Позы воина</x:t>
  </x:si>
  <x:si>
    <x:t xml:space="preserve">Потокова йога для тех, кто любит позы воина: дыхание, ритм, фокус 🧡</x:t>
  </x:si>
  <x:si>
    <x:t xml:space="preserve">https://youtu.be/4Pi7EeswnPw?si=g2HXyPamp5EG1UGR</x:t>
  </x:si>
  <x:si>
    <x:t xml:space="preserve">сильные ноги все тело</x:t>
  </x:si>
  <x:si>
    <x:t xml:space="preserve">ЙОГА ЗАРЯДКА ЗА 5 МИНУТ</x:t>
  </x:si>
  <x:si>
    <x:t xml:space="preserve">Наша любимка *пятиминутка от Milky* всегда доказывает, что даже за такое короткое время можно принести телу пользу 🧡</x:t>
  </x:si>
  <x:si>
    <x:t xml:space="preserve">https://youtu.be/lWUrFzULlQM?si=PtrJiUtJiE8t5VLy</x:t>
  </x:si>
  <x:si>
    <x:t xml:space="preserve">Укрепление мышц спины и плечевого пояса</x:t>
  </x:si>
  <x:si>
    <x:t xml:space="preserve">Эффективная практика с акцентом на *укрепление мышц спины и плечевого пояса*. 
Для бодрого дня, хорошего настроения, здорового тела 🔋</x:t>
  </x:si>
  <x:si>
    <x:t xml:space="preserve">Сила; Зарядка; Здоровая спина</x:t>
  </x:si>
  <x:si>
    <x:t xml:space="preserve">Сила: укреп; Зарядка: бодр; Здоровая спина: спин</x:t>
  </x:si>
  <x:si>
    <x:t xml:space="preserve">https://youtu.be/eCczlJQiRKA?si=BHCjMp0J0NSFH2Sp</x:t>
  </x:si>
  <x:si>
    <x:t xml:space="preserve">ЙОГА с акцентом на БОКОВЫЕ ВЫТЯЖЕНИЯ</x:t>
  </x:si>
  <x:si>
    <x:t xml:space="preserve">Если бока зажаты, то диафрагма движется хуже, межреберные мышцы сжаты, а эти мышцы - основные мышцы вдоха. Поэтому для более глубокого и свободного дыхания необходимо уделять внимание *боковым вытяжениям*</x:t>
  </x:si>
  <x:si>
    <x:t xml:space="preserve">Растяжка: вытяж</x:t>
  </x:si>
  <x:si>
    <x:t xml:space="preserve">https://youtu.be/dAaXHyZCcIQ?si=PMSOHw5hVkPygrpa</x:t>
  </x:si>
  <x:si>
    <x:t xml:space="preserve">Растяжка расслабление</x:t>
  </x:si>
  <x:si>
    <x:t xml:space="preserve">Исследовательские группы</x:t>
  </x:si>
  <x:si>
    <x:t xml:space="preserve">Это не готовые кнопки, а предварительные смысловые кластеры. Счётчики пересчитываются из листа Data (практики).</x:t>
  </x:si>
  <x:si>
    <x:t xml:space="preserve">Группа</x:t>
  </x:si>
  <x:si>
    <x:t xml:space="preserve">В названиях</x:t>
  </x:si>
  <x:si>
    <x:t xml:space="preserve">Рабочие слова/паттерны</x:t>
  </x:si>
  <x:si>
    <x:t xml:space="preserve">Примеры</x:t>
  </x:si>
  <x:si>
    <x:t xml:space="preserve">Предварительное наблюдение</x:t>
  </x:si>
  <x:si>
    <x:t xml:space="preserve">силов, укреп, сила, силы, интенсив, вынослив, power, табата</x:t>
  </x:si>
  <x:si>
    <x:t xml:space="preserve">ИНТЕНСИВНАЯ ЙОГА с элементами среднего уровня | ВИНЬЯСА С АКЦЕНТОМ НА УКРЕПЛЕНИЕ МЫШЦ КОРА И РУК  | Хануманасана - укрепление ног и активные наклоны | Jivamukti Yoga Spiritual Warrior с Татьяной Кошкаровой | ЙОГА для СИЛЬНОЙ и ГИБКОЙ СПИНЫ | ЙОГА - СИЛА И БАЛАНС</x:t>
  </x:si>
  <x:si>
    <x:t xml:space="preserve">зарядк, утрен, пробуж, бодр, разогрев, разминк, перезагруз</x:t>
  </x:si>
  <x:si>
    <x:t xml:space="preserve">ЙОГА В ОФИСЕ для быстрой перезагрузки всего тела | Освоение стойки на руках с Анной Лунеговой | Разминка стоя. Зарядка. Разогрев | Йога-зарядка за 15 мин | Йога на каждое утро, когда совсем нет времени. | ЗАРЯДКА СТОЯ | БЕЗ КОВРИКА</x:t>
  </x:si>
  <x:si>
    <x:t xml:space="preserve">расслаб, релакс, мягк, бережн, спокойн, стресс, медлен, инь, вечерн, перед сном, slow, gentle</x:t>
  </x:si>
  <x:si>
    <x:t xml:space="preserve">Йога в критические дни за 15 минут | ИНЬ ЙОГА с Тоней Арно | Мягкая практика после длительного перелета или сидения с Еленой Куратовой | ВИНЬЯСА С АКЦЕНТОМ НА УКРЕПЛЕНИЕ МЫШЦ КОРА И РУК  | ЙОГА С НУЛЯ ДЛЯ НАЧИНАЮЩИХ. Мягкая, легкая практика с подробным разбором | МЯГКАЯ РАСТЯЖКА для спокойствия ума. Минимум отстроек, максимум внимания внутрь себя</x:t>
  </x:si>
  <x:si>
    <x:t xml:space="preserve">плеч, рук, руках, запяст, предплеч, плечев, чатуранг, аштавакрас, пинч, стойк\w* на рук, баланс\w* на рук</x:t>
  </x:si>
  <x:si>
    <x:t xml:space="preserve">Упражнения для шеи и плеч за рабочим местом | ИНТЕНСИВНАЯ ЙОГА с элементами среднего уровня | ВИНЬЯСА С АКЦЕНТОМ НА УКРЕПЛЕНИЕ МЫШЦ КОРА И РУК  | ЙОГА для СИЛЬНОЙ и ГИБКОЙ СПИНЫ | СИЛОВАЯ ЙОГА ДЛЯ ПРОДОЛЖАЮЩИХ | ЙОГА ДЛЯ НАЧИНАЮЩИХ. БЕЗ НАГРУЗКИ НА РУКИ</x:t>
  </x:si>
  <x:si>
    <x:t xml:space="preserve">спин, позвоноч, осанк, поясниц, шея, шеи, шею, шейн, лопат, грудн\w* отдел, холк</x:t>
  </x:si>
  <x:si>
    <x:t xml:space="preserve">Упражнения для шеи и плеч за рабочим местом | ЙОГА для СИЛЬНОЙ и ГИБКОЙ СПИНЫ | ЙОГА В ОФИСЕ для быстрой перезагрузки всего тела | ЙОГА ДЛЯ ЗДОРОВЬЯ ШЕИ И ПЛЕЧ. Расслабление шейно-воротниковой зоны | ЙОГА ДЛЯ КОРОЛЕВСКОЙ ОСАНКИ | Йога для Здоровой спины за 15 мин</x:t>
  </x:si>
  <x:si>
    <x:t xml:space="preserve">растяж, гибк, вытяж, мобил, подвижн, раскрепощ, скован, наклон</x:t>
  </x:si>
  <x:si>
    <x:t xml:space="preserve">Дживамукти йога: наклоны с Дарьей Григорьевой | Хануманасана - укрепление ног и активные наклоны | ЙОГА для СИЛЬНОЙ и ГИБКОЙ СПИНЫ | МЯГКАЯ РАСТЯЖКА для спокойствия ума. Минимум отстроек, максимум внимания внутрь себя | ЙОГА ОТ СКОВАННОСТИ. Раскрепощение всего тела | БЕРЕЖНАЯ ЙОГА РАСТЯЖКА</x:t>
  </x:si>
  <x:si>
    <x:t xml:space="preserve">освоен, стойк, баланс, аштавакрас, пинч, шпагат, хануман, падмасан, позы воина</x:t>
  </x:si>
  <x:si>
    <x:t xml:space="preserve">Подведение к поперечному шпагату с Зариной Зубковой. Продвинутый уровень | ИНТЕНСИВНАЯ ЙОГА с элементами среднего уровня | Хануманасана - укрепление ног и активные наклоны | Хануманасана (продольный шпагат) с Кириллом Гетманом | Jivamukti Yoga. Освоение падмасаны с Дарьей Григорьевой | ЙОГА - СИЛА И БАЛАНС</x:t>
  </x:si>
  <x:si>
    <x:t xml:space="preserve">вс[ёе] тело, всего тела, full body, сбалансирован</x:t>
  </x:si>
  <x:si>
    <x:t xml:space="preserve">ЙОГА - СИЛА И БАЛАНС | ЙОГА ОТ СКОВАННОСТИ. Раскрепощение всего тела | ЙОГА В ОФИСЕ для быстрой перезагрузки всего тела | Разминка стоя. Зарядка. Разогрев | ХАТХА ЙОГА - сбалансированный класс с Софьей Полтавец | Короткая йога на все тело</x:t>
  </x:si>
  <x:si>
    <x:t xml:space="preserve">кор, кора, пресс, живот, талия, планк, центр тела, тазов\w* дна</x:t>
  </x:si>
  <x:si>
    <x:t xml:space="preserve">ИНТЕНСИВНАЯ ЙОГА с элементами среднего уровня | ВИНЬЯСА С АКЦЕНТОМ НА УКРЕПЛЕНИЕ МЫШЦ КОРА И РУК  | СИЛОВАЯ ЙОГА ДЛЯ ПРОДОЛЖАЮЩИХ | Тренировка на пресс с таймером | Табата тренировка кора | Power Yoga с Рушаной Цапкиной</x:t>
  </x:si>
  <x:si>
    <x:t xml:space="preserve">тазобедр, тазов, бедр, шпагат, хануман, самаконас, падмасан, поз\w* лотос, нога за голов, hips?, psoas</x:t>
  </x:si>
  <x:si>
    <x:t xml:space="preserve">Подведение к поперечному шпагату с Зариной Зубковой. Продвинутый уровень | Хануманасана - укрепление ног и активные наклоны | Класс Татьяны Кошкаровой с акцентом на направление «нога за головой» | Хануманасана (продольный шпагат) с Кириллом Гетманом | Jivamukti Yoga. Освоение падмасаны с Дарьей Григорьевой | РАСКРЫТИЕ ТАЗОБЕДРЕННЫХ СУСТАВОВ</x:t>
  </x:si>
  <x:si>
    <x:t xml:space="preserve">Без коврика / стоя</x:t>
  </x:si>
  <x:si>
    <x:t xml:space="preserve">без коврик, йога стоя, разминка стоя, зарядка стоя, в офисе, за рабочим местом</x:t>
  </x:si>
  <x:si>
    <x:t xml:space="preserve">Упражнения для шеи и плеч за рабочим местом | ЙОГА В ОФИСЕ для быстрой перезагрузки всего тела | ЙОГА В ЛЮБОМ МЕСТЕ БЕЗ КОВРИКА. ЙОГА СТОЯ. 17 минут. | Разминка стоя. Зарядка. Разогрев | ЙОГА ДЛЯ ЗДОРОВЬЯ ШЕИ И ПЛЕЧ. Расслабление шейно-воротниковой зоны | ЗАРЯДКА СТОЯ | БЕЗ КОВРИКА</x:t>
  </x:si>
  <x:si>
    <x:t xml:space="preserve">Женское самочувствие</x:t>
  </x:si>
  <x:si>
    <x:t xml:space="preserve">критическ\w* дн, менструац, пмс, отек, лимф</x:t>
  </x:si>
  <x:si>
    <x:t xml:space="preserve">Йога в критические дни за 15 минут | ЙОГА В ОФИСЕ для быстрой перезагрузки всего тела | Мягкая йога в критические дни. Йога для расслабления | Комплекс от отеков | Убираем лишнюю воду💦 | Комплекс от отеков | Убираем лишнюю воду💦</x:t>
  </x:si>
  <x:si>
    <x:t xml:space="preserve">Пересечения групп</x:t>
  </x:si>
  <x:si>
    <x:t xml:space="preserve">Показаны пары, в которые попало не менее двух практик. Они помогают увидеть, какие акценты естественно сочетаются.</x:t>
  </x:si>
  <x:si>
    <x:t xml:space="preserve">Группа 1</x:t>
  </x:si>
  <x:si>
    <x:t xml:space="preserve">Группа 2</x:t>
  </x:si>
  <x:si>
    <x:t xml:space="preserve">Доля библиотеки</x:t>
  </x:si>
  <x:si>
    <x:t xml:space="preserve">Практики и черновая разметка</x:t>
  </x:si>
  <x:si>
    <x:t xml:space="preserve">Группы предложены по названию и авторскому описанию. Столбцы «Статус проверки» и «Подтверждённый focus» оставлены для будущей ручной проверки.</x:t>
  </x:si>
  <x:si>
    <x:t xml:space="preserve">YouTube-описание</x:t>
  </x:si>
  <x:si>
    <x:t xml:space="preserve">Предложенные группы</x:t>
  </x:si>
  <x:si>
    <x:t xml:space="preserve">Группы по названию</x:t>
  </x:si>
  <x:si>
    <x:t xml:space="preserve">Найденные слова</x:t>
  </x:si>
  <x:si>
    <x:t xml:space="preserve">Уверенность</x:t>
  </x:si>
  <x:si>
    <x:t xml:space="preserve">Статус проверки</x:t>
  </x:si>
  <x:si>
    <x:t xml:space="preserve">Подтверждённый focus</x:t>
  </x:si>
  <x:si>
    <x:t xml:space="preserve">Практика посвящена центру тела и глубокому наклону. Для практики понадобятся плед\носки, два блока и ремень.
HOLI yoga &amp; cafe — студии йоги с ведущим преподавательским составом и авторской растительной кухней. Присоединяйтесь к нашему holistic community и открывайте новые инструменты для развития.
HOLI ТРЕТЬЯКОВСКАЯ — Малая Ордынка ул., 19
HOLI БЕЛОРУССКАЯ — 1-я Ямского Поля ул., 1, к. 1
Наш сайт — https://www.holiyoga.ru/ 
Telegram-канал— https://t.me/holiyogacafe</x:t>
  </x:si>
  <x:si>
    <x:t xml:space="preserve">Растяжка и подвижность: наклон</x:t>
  </x:si>
  <x:si>
    <x:t xml:space="preserve">https://vvprofitness.by/yogamix ❤️
Если вам нравится йога со мной и вы хотите заниматься системно, на результат и дальше прогрессировать, то приглашаю на мой новый курс «YogaMIX» с акцентом на стройность тела и оздоровление позвоночника! Подробнее https://vvprofitness.by/yogamix 🌿
____________________________
Эта 15-минутная женская мягкая йога создана для выполнения в критические дни, для облегчения боли во время менструаций, снятия симптомов ПМС, улучшения самочувствия и настроения.
Все асан</x:t>
  </x:si>
  <x:si>
    <x:t xml:space="preserve">Расслабление и замедление; Женское самочувствие</x:t>
  </x:si>
  <x:si>
    <x:t xml:space="preserve">Расслабление и замедление: мягк; Женское самочувствие: критические дн, менструац, пмс</x:t>
  </x:si>
  <x:si>
    <x:t xml:space="preserve">Занятие хатха йогой базового/среднего уровня сложности на подготовку к Самаконасане — поперечному шпагату. 
Занятие комплексное, но прицельно работаем над общей подвижностью тазобедренных суставов, наклонами, укреплением мышц ног, чтобы шпагат был более безопасным.
Кто мы и где нас найти: 
HOLI — студии йоги с ведущим преподавательским составом и авторской растительной кухней. Присоединяйтесь к нашему holistic community и открывайте новые инструменты для развития.
HOLI ТРЕТЬЯКОВСКАЯ — Малая</x:t>
  </x:si>
  <x:si>
    <x:t xml:space="preserve">Тазобедренные и шпагаты; Освоение асан и балансов</x:t>
  </x:si>
  <x:si>
    <x:t xml:space="preserve">Тазобедренные и шпагаты: самаконас, шпагат; Освоение асан и балансов: шпагат</x:t>
  </x:si>
  <x:si>
    <x:t xml:space="preserve">NEW Курс по Осанке - https://maristretching.skillspace.ru/course/123436/about
Простой комплекс упражнений для шеи, плеч и спины за рабочим столом для того, чтобы снять дискомфорт, зажатость и придать легкость этим зонам. Кстати, такой комплекс улучшает кровоснабжение в мозге, а значит, улучшает память, внимание и скорость мышления. Сохраняя себе и выполняй регулярно, не вставая со стула.
Мои курсы https://maristretching.skillspace.ru/school/courses
Групповые занятия в Петербурге https://t.me/</x:t>
  </x:si>
  <x:si>
    <x:t xml:space="preserve">Здоровая спина; Плечи, руки и запястья; Без коврика / стоя</x:t>
  </x:si>
  <x:si>
    <x:t xml:space="preserve">Здоровая спина: спин, шеи; Плечи, руки и запястья: плеч; Без коврика / стоя: за рабочим местом</x:t>
  </x:si>
  <x:si>
    <x:t xml:space="preserve">📌 Если вы хотите заниматься йогой регулярно и в кайф заполните АНКЕТУ ПРЕДЗАПИСИ на новый поток курса YOGA SHOT: 
https://anikoyoga.ru/yogashotsummer
На этом занятии мы познакомимся, поговорим о йоге как способе трансформации личности и сделаем горячий 30-минутный флоу. После шавасаны тебя ждет домашнее задание с практикой внимательности, которое поможет тебе сделать первый шаг на пути к мечте! Очень рекомендую найти время и сделать его до начала следующего урока.
Ну что, по коврам? ;)</x:t>
  </x:si>
  <x:si>
    <x:t xml:space="preserve">Второе занятие
Вот и второе занятие! Для того, чтобы освободить место для нового, нужно отпустить старое, поэтому сегодня мы будем освобождаться от накопившегося напряжения: физического, эмоционального и ментального.
После отдыха в шавасане тебя ждёт домашнее задание с новой практикой внимательности для ещё одного шага к жизни мечты. Выполняя домашние задания вместе с другими участниками курса, делясь опытом, ошибками и успехами, почувствуй причастность ко всем людям, идущим вместе с тобой по</x:t>
  </x:si>
  <x:si>
    <x:t xml:space="preserve">👉🏻  Еженедельные онлайн-практики в zoom: 
https://www.milkyveganyoga.com/registration
👉🏻 Телеграм канал: https://t.me/milkyveganyoga
👉🏻 Комплексные практики со мной:
https://www.milkyveganyoga.com/onlineyoga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https://boosty.to/milkyveganyoga/donate
Либо это можно сделать переводом на карту по номеру: 5536 9138 7915 8802
Практика</x:t>
  </x:si>
  <x:si>
    <x:t xml:space="preserve">Плечи, руки и запястья; Кор и пресс; Сила и выносливость; Освоение асан и балансов</x:t>
  </x:si>
  <x:si>
    <x:t xml:space="preserve">Плечи, руки и запястья: балансы на рук, плеч, плечев, рук, руках; Кор и пресс: кора; Сила и выносливость: интенсив, силов; Освоение асан и балансов: баланс, стойк</x:t>
  </x:si>
  <x:si>
    <x:t xml:space="preserve">Это класс хатха йоги для начинающих от ведущих преподавателей студии HOLI yoga &amp; cafe - Марии Колосовой и Софьи Полтавец. 
https://www.holiyoga.ru/</x:t>
  </x:si>
  <x:si>
    <x:t xml:space="preserve">Инь йога — это погружение на другие уровни осознания своего тела, расслабляющая практика с длительным удержанием каждого положения, благодаря такому подходу появляется возможность перейти на глубокую работу, где задействуется не только физический аспект, но и происходит очищение на энергетическом уровне.</x:t>
  </x:si>
  <x:si>
    <x:t xml:space="preserve">Расслабление и замедление: инь, расслаб</x:t>
  </x:si>
  <x:si>
    <x:t xml:space="preserve">Jivamukti yoga. Мягкая практика после длительного перелета или сидения с Еленой Куратовой.
Классы йоги различных направлений в студии и онлайн в Jivamukti Yoga Material Moscow. Актуальное расписание: https://material.yoga/raspisanie/
#jivamukti #jivamuktiyoga #jivamuktiyogamaterialmoscow #jivamuktiyogamoscow</x:t>
  </x:si>
  <x:si>
    <x:t xml:space="preserve">Расслабление и замедление: мягк</x:t>
  </x:si>
  <x:si>
    <x:t xml:space="preserve">Практика Хатха Йоги для базового/ среднего уровня практикующих - укрепляющая комплексная виньяса с акцентом на укрепление мышц кора и рук.
Для практики нужен только коврик и удобная одежда, никаких дополнительных приспособлений! После практики почувствуете спокойную силу в теле, тишину и готовность к новым свершениям :)
Больше информации обо мне и занятий в Йога Клубе можно найти по ссылке -  https://taplink.cc/zarina.zubkova_</x:t>
  </x:si>
  <x:si>
    <x:t xml:space="preserve">Плечи, руки и запястья; Кор и пресс; Сила и выносливость; Расслабление и замедление</x:t>
  </x:si>
  <x:si>
    <x:t xml:space="preserve">Плечи, руки и запястья; Кор и пресс; Сила и выносливость</x:t>
  </x:si>
  <x:si>
    <x:t xml:space="preserve">Плечи, руки и запястья: рук; Кор и пресс: кор, кора; Сила и выносливость: укреп; Расслабление и замедление: спокойн</x:t>
  </x:si>
  <x:si>
    <x:t xml:space="preserve">Комплексная умеренной интенсивности практика с акцентом на приближение к Хануманасане (продольному шпагату). Много работали над укреплением мышц ног, силовыми наклонами.</x:t>
  </x:si>
  <x:si>
    <x:t xml:space="preserve">Тазобедренные и шпагаты; Растяжка и подвижность; Сила и выносливость; Освоение асан и балансов</x:t>
  </x:si>
  <x:si>
    <x:t xml:space="preserve">Тазобедренные и шпагаты: хануман, шпагат; Растяжка и подвижность: наклон; Сила и выносливость: интенсив, силов, укреп; Освоение асан и балансов: хануман, шпагат</x:t>
  </x:si>
  <x:si>
    <x:t xml:space="preserve">Jivamukti Yoga Spiritual Warrior с Татьяной Кошкаровой. Класс базового уровня сложности. Демонстрирует – Анна Лунегова. 
Классы йоги различных направлений в студии и онлайн в Jivamukti Yoga Material Moscow. Актуальное расписание: https://material.yoga/raspisanie/
#jivamukti #jivamuktiyoga #jivamuktiyogamaterialmoscow #annalunegova #spiritualwarrior</x:t>
  </x:si>
  <x:si>
    <x:t xml:space="preserve">Сила и выносливость: интенсив</x:t>
  </x:si>
  <x:si>
    <x:t xml:space="preserve">Jivamukti Yoga Opel Level. Класс Татьяны Кошкаровой с акцентом на направление «нога за головой».
Класс базового уровня сложности. Демонстрирует – Камила Могилева. 
0:00 Знакомство 
0:23 Разминка
8:06 Намерение 
8:30 Сурья Намаскар 
13:26 Асаны стоя 
16:30 Асаны стоя с акцентом на раскрытие бёдер 
22:58 Перевернутые: Пинча Маюрасана 
25:11 вариации Выпада. Раскрытие Бёдер 
31:41 Асаны Сидя. Раскрытие бёдер. 
35:30 Нога за голову – Эка Пада Ширшасана/ Чакорасана/ Дурвасана 
41:41 Прогибы лёжа на</x:t>
  </x:si>
  <x:si>
    <x:t xml:space="preserve">Тазобедренные и шпагаты: нога за голов</x:t>
  </x:si>
  <x:si>
    <x:t xml:space="preserve">Класс хатха-йоги базового уровня.
Хануманасана (продольный шпагат) с Кириллом Гетманом.
Ссылка на плейлист, подходящий для практики, от Кирилла: 
https://music.apple.com/ru/playlist/yoga-class-30-min/pl.u-RRbV9KDt3xLVpVy
0:00 Приветствие
0:44 Разминка
9:37 Асаны стоя
17:34 Прогибы
21:09 Хануманасана (продольный шпагат)
26:42 Завершение практики
Классы йоги различных направлений в студии и онлайн в Jivamukti Yoga Material Moscow. Актуальное расписание: https://material.yoga/raspisanie/
#хатха</x:t>
  </x:si>
  <x:si>
    <x:t xml:space="preserve">Тазобедренные и шпагаты: хануман, шпагат; Освоение асан и балансов: хануман, шпагат</x:t>
  </x:si>
  <x:si>
    <x:t xml:space="preserve">Jivamukti Yoga с Анной Лунеговой и Ольгой Карпуть.
0:08 Приветствие 
0:12 Разминка
0:52 Асаны стоя
7:59 Вариации выпада. Вытяжение задней и передней поверхности ног
11:00 Продольный шпагат — Ханумадасана 
14:25 Раскрытие тзб суставов
16:50 Раскрытие бедер. Упавиштха Конасана
17:34 Компенсация. Гомукхасана
19:42 Поперечный шпагат — Самаконасана
20:42 Скручивания стоя —Паривритта Паршваконасана.
22:13 Агни Стабхасана — наклоны и скручивания
24:48 Полумост
25:13 Нога за головой — Эка Пада Ширшасан</x:t>
  </x:si>
  <x:si>
    <x:t xml:space="preserve">Jivamukti Yoga. Reach for the light. Освоение падмасаны с Дарьей Григорьевой.
Классы йоги различных направлений в студии и онлайн в Jivamukti Yoga Material Moscow. Актуальное расписание: https://material.yoga/raspisanie/
#jivamukti #jivamuktiyoga #jivamuktiyogamaterialmoscow #jivamuktiyogamoscow</x:t>
  </x:si>
  <x:si>
    <x:t xml:space="preserve">Тазобедренные и шпагаты: падмасан, позы лотос; Освоение асан и балансов: освоен, падмасан</x:t>
  </x:si>
  <x:si>
    <x:t xml:space="preserve">👉🏻 Онлайн студия йоги:
https://www.milkyveganyoga.com/onlineyoga
👉🏻 Телеграм канал: https://t.me/milkyveganyoga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https://boosty.to/milkyveganyoga/donate
Либо это можно сделать переводом на карту по номеру: 5536 9138 7915 8802
Данный комплекс йоги поможет сделать вашу спину сильнее и подвижнее. Мы укрепим мышцы плеч, спины, сделае</x:t>
  </x:si>
  <x:si>
    <x:t xml:space="preserve">Здоровая спина; Плечи, руки и запястья; Растяжка и подвижность; Сила и выносливость</x:t>
  </x:si>
  <x:si>
    <x:t xml:space="preserve">Здоровая спина; Растяжка и подвижность</x:t>
  </x:si>
  <x:si>
    <x:t xml:space="preserve">Здоровая спина: позвоноч, спин; Плечи, руки и запястья: плеч; Растяжка и подвижность: вытяж, гибк, наклон, подвижн; Сила и выносливость: укреп</x:t>
  </x:si>
  <x:si>
    <x:t xml:space="preserve">👉🏻 Онлайн студия йоги:
https://www.milkyveganyoga.com/onlineyoga
👉🏻  Еженедельные онлайн-практики в zoom: 
https://www.milkyveganyoga.com/registration
👉🏻 Телеграм канал: https://t.me/milkyveganyoga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https://boosty.to/milkyveganyoga/donate
Либо это можно сделать переводом на карту по номеру: 5536 9138 7915 8802
Данный комплекс йог</x:t>
  </x:si>
  <x:si>
    <x:t xml:space="preserve">Сила и выносливость; Всё тело; Освоение асан и балансов</x:t>
  </x:si>
  <x:si>
    <x:t xml:space="preserve">Сила и выносливость; Освоение асан и балансов</x:t>
  </x:si>
  <x:si>
    <x:t xml:space="preserve">Сила и выносливость: сила; Всё тело: всего тела; Освоение асан и балансов: баланс</x:t>
  </x:si>
  <x:si>
    <x:t xml:space="preserve">👉🏻  Еженедельные онлайн-практики в zoom: 
https://www.milkyveganyoga.com/registration
👉🏻 Телеграм канал: https://t.me/milkyveganyoga
👉🏻 Комплексные практики со мной:
https://www.milkyveganyoga.com/onlineyoga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https://boosty.to/milkyveganyoga/donate
Либо это можно сделать переводом на карту по номеру: 5536 9138 7915 8802
Данный ко</x:t>
  </x:si>
  <x:si>
    <x:t xml:space="preserve">Растяжка и подвижность; Расслабление и замедление</x:t>
  </x:si>
  <x:si>
    <x:t xml:space="preserve">Растяжка и подвижность: вытяж, растяж; Расслабление и замедление: мягк, расслаб</x:t>
  </x:si>
  <x:si>
    <x:t xml:space="preserve">👉🏻  Еженедельные онлайн-практики в zoom: 
https://www.milkyveganyoga.com/registration
👉🏻 Телеграм канал: https://t.me/milkyveganyoga
👉🏻  Еженедельные онлайн-практики в zoom: 
https://www.milkyveganyoga.com/registration
👉🏻 Комплексные практики со мной:
https://www.milkyveganyoga.com/onlineyoga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</x:t>
  </x:si>
  <x:si>
    <x:t xml:space="preserve">Растяжка и подвижность; Всё тело</x:t>
  </x:si>
  <x:si>
    <x:t xml:space="preserve">Растяжка и подвижность: раскрепощ, скован; Всё тело: всего тела</x:t>
  </x:si>
  <x:si>
    <x:t xml:space="preserve">Плечи, руки и запястья: рук; Кор и пресс: кора; Сила и выносливость: силов; Расслабление и замедление: расслаб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</x:si>
  <x:si>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https://www.milkyveganyoga.com/onlineyoga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https://boosty.to/milkyveganyoga/donate
Либо это можно сделать переводом на карту по номеру: 5536 9138 7915 8802
Данный комп</x:t>
  </x:si>
  <x:si>
    <x:t xml:space="preserve">Плечи, руки и запястья: запяст, плеч, плечев, рук</x:t>
  </x:si>
  <x:si>
    <x:t xml:space="preserve">Здоровая спина; Сила и выносливость; Зарядка и пробуждение; Всё тело; Без коврика / стоя; Женское самочувствие</x:t>
  </x:si>
  <x:si>
    <x:t xml:space="preserve">Зарядка и пробуждение; Всё тело; Без коврика / стоя</x:t>
  </x:si>
  <x:si>
    <x:t xml:space="preserve">Здоровая спина: грудной отдел, позвоноч; Сила и выносливость: укреп; Зарядка и пробуждение: бодр, перезагруз; Всё тело: всего тела; Без коврика / стоя: в офисе; Женское самочувствие: отек</x:t>
  </x:si>
  <x:si>
    <x:t xml:space="preserve">Плечи, руки и запястья; Зарядка и пробуждение; Освоение асан и балансов</x:t>
  </x:si>
  <x:si>
    <x:t xml:space="preserve">Плечи, руки и запястья; Освоение асан и балансов</x:t>
  </x:si>
  <x:si>
    <x:t xml:space="preserve">Плечи, руки и запястья: рук, руках, стойке на рук, стойки на рук; Зарядка и пробуждение: бодр; Освоение асан и балансов: освоен, стойк</x:t>
  </x:si>
  <x:si>
    <x:t xml:space="preserve">Без коврика / стоя: без коврик, в офисе, йога стоя</x:t>
  </x:si>
  <x:si>
    <x:t xml:space="preserve">Расслабление и замедление; Зарядка и пробуждение; Всё тело; Без коврика / стоя</x:t>
  </x:si>
  <x:si>
    <x:t xml:space="preserve">Зарядка и пробуждение; Без коврика / стоя</x:t>
  </x:si>
  <x:si>
    <x:t xml:space="preserve">Расслабление и замедление: мягк; Зарядка и пробуждение: зарядк, разминк, разогрев; Всё тело: всего тела; Без коврика / стоя: разминка стоя</x:t>
  </x:si>
  <x:si>
    <x:t xml:space="preserve">Сила и выносливость; Расслабление и замедление; Женское самочувствие</x:t>
  </x:si>
  <x:si>
    <x:t xml:space="preserve">Сила и выносливость: силов; Расслабление и замедление: мягк, перед сном, расслаб; Женское самочувствие: критические дн, критических дн</x:t>
  </x:si>
  <x:si>
    <x:t xml:space="preserve">Плечи, руки и запястья; Сила и выносливость</x:t>
  </x:si>
  <x:si>
    <x:t xml:space="preserve">Плечи, руки и запястья: плеч, плечев, рук, чатуранг; Сила и выносливость: вынослив, силы</x:t>
  </x:si>
  <x:si>
    <x:t xml:space="preserve">Всё тело; Освоение асан и балансов</x:t>
  </x:si>
  <x:si>
    <x:t xml:space="preserve">Всё тело: все тело, сбалансирован; Освоение асан и балансов: баланс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</x:si>
  <x:si>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 и сказать спасибо - 
http</x:t>
  </x:si>
  <x:si>
    <x:t xml:space="preserve">Здоровая спина; Плечи, руки и запястья; Расслабление и замедление; Без коврика / стоя</x:t>
  </x:si>
  <x:si>
    <x:t xml:space="preserve">Здоровая спина; Плечи, руки и запястья; Расслабление и замедление</x:t>
  </x:si>
  <x:si>
    <x:t xml:space="preserve">Здоровая спина: спин, шеи, шейн; Плечи, руки и запястья: плеч; Расслабление и замедление: мягк, расслаб; Без коврика / стоя: без коврик, в офисе</x:t>
  </x:si>
  <x:si>
    <x:t xml:space="preserve">Зарядка и пробуждение: зарядк</x:t>
  </x:si>
  <x:si>
    <x:t xml:space="preserve">Зарядка и пробуждение: утрен</x:t>
  </x:si>
  <x:si>
    <x:t xml:space="preserve">Сила и выносливость: вынослив, интенсив</x:t>
  </x:si>
  <x:si>
    <x:t xml:space="preserve">Растяжка и подвижность: растяж; Расслабление и замедление: бережн, расслаб, стресс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</x:si>
  <x:si>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https://www.milkyveganyoga.com/onlineyoga
👉🏻 😊Если видео было вам полезно, и вы хотели бы поддержать канал, можно оформить подписку и</x:t>
  </x:si>
  <x:si>
    <x:t xml:space="preserve">йога за 10 минут для любого уровня</x:t>
  </x:si>
  <x:si>
    <x:t xml:space="preserve">Расслабление и замедление: бережн, релакс</x:t>
  </x:si>
  <x:si>
    <x:t xml:space="preserve">Женское самочувствие: отек</x:t>
  </x:si>
  <x:si>
    <x:t xml:space="preserve">Расслабление и замедление; Освоение асан и балансов</x:t>
  </x:si>
  <x:si>
    <x:t xml:space="preserve">Расслабление и замедление: расслаб; Освоение асан и балансов: позы воина</x:t>
  </x:si>
  <x:si>
    <x:t xml:space="preserve">Растяжка и подвижность: растяж; Всё тело: всё тело</x:t>
  </x:si>
  <x:si>
    <x:t xml:space="preserve">Кор и пресс; Сила и выносливость</x:t>
  </x:si>
  <x:si>
    <x:t xml:space="preserve">Кор и пресс: кор, кора; Сила и выносливость: табата</x:t>
  </x:si>
  <x:si>
    <x:t xml:space="preserve">Плечи, руки и запястья; Сила и выносливость; Освоение асан и балансов</x:t>
  </x:si>
  <x:si>
    <x:t xml:space="preserve">Плечи, руки и запястья: запяст, рук, руках, стойки на рук; Сила и выносливость: укреп; Освоение асан и балансов: стойк</x:t>
  </x:si>
  <x:si>
    <x:t xml:space="preserve">Зарядка и пробуждение: зарядк; Без коврика / стоя: без коврик, в офисе, зарядка стоя</x:t>
  </x:si>
  <x:si>
    <x:t xml:space="preserve">Плечи, руки и запястья: аштавакрас, баланс на рук, баланса на рук, рук, руках; Зарядка и пробуждение: бодр; Освоение асан и балансов: аштавакрас, баланс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</x:si>
  <x:si>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канал, можно оформить подписку</x:t>
  </x:si>
  <x:si>
    <x:t xml:space="preserve">Здоровая спина; Плечи, руки и запястья</x:t>
  </x:si>
  <x:si>
    <x:t xml:space="preserve">Здоровая спина: лопат; Плечи, руки и запястья: плеч</x:t>
  </x:si>
  <x:si>
    <x:t xml:space="preserve">https://vvprofitness.by/yogamix ❤️
Если вам нравится йога со мной и вы хотите заниматься системно, на результат и дальше прогрессировать, то приглашаю на мой новый курс «YogaMIX» с акцентом на стройность тела и оздоровление позвоночника! Подробнее https://vvprofitness.by/yogamix 🌿
_________________</x:t>
  </x:si>
  <x:si>
    <x:t xml:space="preserve">Зарядка и пробуждение; Всё тело</x:t>
  </x:si>
  <x:si>
    <x:t xml:space="preserve">Зарядка и пробуждение: бодр; Всё тело: все тело</x:t>
  </x:si>
  <x:si>
    <x:t xml:space="preserve">Здоровая спина: осанк, спин; Плечи, руки и запястья: плеч; Растяжка и подвижность: мобил; Сила и выносливость: укреп</x:t>
  </x:si>
  <x:si>
    <x:t xml:space="preserve">Power Yoga с Рушаной Цапкиной.
Короткий динамичный комплекс упражнений, приводящий в форму.
Классы йоги различных направлений в студии и онлайн в Jivamukti Yoga Material Moscow. Актуальное расписание: https://material.yoga/raspisanie/
#jivamukti #jivamuktiyoga #jivamuktiyogamaterialmoscow #powery</x:t>
  </x:si>
  <x:si>
    <x:t xml:space="preserve">Кор и пресс: пресс; Сила и выносливость: power</x:t>
  </x:si>
  <x:si>
    <x:t xml:space="preserve">эта практика поможет позаботиться о себе в самые ленивые дни, когда не хочется вылезать из кровати
——————————————
рада тебе в моем канале soft power 💙
моя миссия — создавать любящее безопасное целостное пространство, в котором каждый человек сможет лучше узнать себя, свои желания и потребности, рас</x:t>
  </x:si>
  <x:si>
    <x:t xml:space="preserve">Расслабление и замедление; Зарядка и пробуждение</x:t>
  </x:si>
  <x:si>
    <x:t xml:space="preserve">Расслабление и замедление: перед сном; Зарядка и пробуждение: зарядк</x:t>
  </x:si>
  <x:si>
    <x:t xml:space="preserve">виньяса флоу практика для сильного, гибкого, энергичного тела!!</x:t>
  </x:si>
  <x:si>
    <x:t xml:space="preserve">Растяжка и подвижность: гибк</x:t>
  </x:si>
  <x:si>
    <x:t xml:space="preserve">Тазобедренные и шпагаты; Расслабление и замедление</x:t>
  </x:si>
  <x:si>
    <x:t xml:space="preserve">Тазобедренные и шпагаты: бедр, тазобедр; Расслабление и замедление: спокойн</x:t>
  </x:si>
  <x:si>
    <x:t xml:space="preserve">Зарядка и пробуждение: разминк</x:t>
  </x:si>
  <x:si>
    <x:t xml:space="preserve">Растяжка и подвижность; Зарядка и пробуждение</x:t>
  </x:si>
  <x:si>
    <x:t xml:space="preserve">Растяжка и подвижность: наклон; Зарядка и пробуждение: зарядк</x:t>
  </x:si>
  <x:si>
    <x:t xml:space="preserve">Кор и пресс; Зарядка и пробуждение</x:t>
  </x:si>
  <x:si>
    <x:t xml:space="preserve">Кор и пресс: кора, планк; Зарядка и пробуждение: разогрев</x:t>
  </x:si>
  <x:si>
    <x:t xml:space="preserve">Плечи, руки и запястья: аштавакрас, баланс на рук, рук, руках; Освоение асан и балансов: аштавакрас, баланс</x:t>
  </x:si>
  <x:si>
    <x:t xml:space="preserve">Jivamukti Yoga. Вечерняя практика с Марией Гулидой.
Классы йоги различных направлений в студии и онлайн в Jivamukti Yoga Material Moscow. Актуальное расписание: https://material.yoga/raspisanie/
#jivamukti #jivamuktiyoga #jivamuktiyogamaterialmoscow #jivamuktiyogamoscow</x:t>
  </x:si>
  <x:si>
    <x:t xml:space="preserve">Расслабление и замедление: вечерн</x:t>
  </x:si>
  <x:si>
    <x:t xml:space="preserve">Кор и пресс: пресс; Сила и выносливость: вынослив, интенсив, табата</x:t>
  </x:si>
  <x:si>
    <x:t xml:space="preserve">Зарядка и пробуждение: пробуж; Всё тело: все тело</x:t>
  </x:si>
  <x:si>
    <x:t xml:space="preserve">Зарядка и пробуждение: зарядк, утрен; Всё тело: все тело</x:t>
  </x:si>
  <x:si>
    <x:t xml:space="preserve">👉🏻  Еженедельные онлайн-практики в zoom: 
https://www.milkyveganyoga.com/registration
👉🏻 Телеграм канал: https://t.me/milkyveganyoga
👉🏻 Комплексные практики со мной:
https://www.milkyveganyoga.com/onlineyoga
😊Если видео было вам полезно, и вы хотели бы поддержать канал, можно оформить подписку ил</x:t>
  </x:si>
  <x:si>
    <x:t xml:space="preserve">Здоровая спина: грудной отдел, спин; Плечи, руки и запястья: рук; Растяжка и подвижность: гибк; Сила и выносливость: силы, укреп</x:t>
  </x:si>
  <x:si>
    <x:t xml:space="preserve">Расслабление и замедление: бережн, мягк</x:t>
  </x:si>
  <x:si>
    <x:t xml:space="preserve">Зарядка и пробуждение: зарядк, перезагруз, пробуж; Всё тело: всего тела</x:t>
  </x:si>
  <x:si>
    <x:t xml:space="preserve">Здоровая спина: позвоноч, спин; Растяжка и подвижность: мобил</x:t>
  </x:si>
  <x:si>
    <x:t xml:space="preserve">Женское самочувствие: лимф, отек</x:t>
  </x:si>
  <x:si>
    <x:t xml:space="preserve">https://vvprofitness.by/yogamix ❤️
Если вам нравится йога со мной и вы хотите заниматься системно, на результат и дальше прогрессировать, то приглашаю на мой новый курс «YogaMIX» с акцентом на стройность тела и оздоровление позвоночника! Подробнее https://vvprofitness.by/yogamix 🌿
____________________________
Йога-поток, где каждое движение улучшает подвижность суставов, раскрываем грудной отдел, и грамотно удлиняет мышцы (читай, растягивает 😉). Можно поток повторить 5-8 раз, каждый раз стремя</x:t>
  </x:si>
  <x:si>
    <x:t xml:space="preserve">Сила и выносливость: силов</x:t>
  </x:si>
  <x:si>
    <x:t xml:space="preserve">Ленивый SHOT— подходит для тех кому очень-очень лень, и нет сил ни на что, но все равно хочется позаботится о себе и подарить любовь, которую заслуживает наше прекрасное тело.
Этот Шот длится 24 минуты, он направлен на мягкое вытяжение и расслабление всего тела, проработку зажимов и блоков которые сковывают нас и не дают свободно распределятся энергии✨
— 20:30 (начинается шавасана)
📌 Если вам сложно выполнять некоторые асаны, то делайте их на столько, на сколько вам позволяет ваше тело! 
Про</x:t>
  </x:si>
  <x:si>
    <x:t xml:space="preserve">Здоровая спина: грудной отдел; Растяжка и подвижность: подвижн</x:t>
  </x:si>
  <x:si>
    <x:t xml:space="preserve">Здоровая спина; Плечи, руки и запястья; Растяжка и подвижность; Расслабление и замедление</x:t>
  </x:si>
  <x:si>
    <x:t xml:space="preserve">Здоровая спина: спин, шеи; Плечи, руки и запястья: плеч; Растяжка и подвижность: растяж; Расслабление и замедление: расслаб</x:t>
  </x:si>
  <x:si>
    <x:t xml:space="preserve">Кор и пресс: планк; Сила и выносливость: табата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</x:si>
  <x:si>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 и сказать спасибо - 
https://boosty.to/milkyveganyoga
Либо это можно сделать переводом на карту по номеру: 
5536 9138 7915 8802
Данный комплекс поможет укрепить руки, запястья и весь плечевой пояс. 
Практика содержит много с</x:t>
  </x:si>
  <x:si>
    <x:t xml:space="preserve">Плечи, руки и запястья: запяст, плеч, плечев, рук; Сила и выносливость: укреп</x:t>
  </x:si>
  <x:si>
    <x:t xml:space="preserve">Расслабление и замедление: мягк; Зарядка и пробуждение: пробуж, разминк, утрен; Всё тело: всего тела; Без коврика / стоя: разминка стоя</x:t>
  </x:si>
  <x:si>
    <x:t xml:space="preserve">Jivamukti Yoga. Освоение Пинча Майюрасаны с Ксенией Уваровой.
Ксения: «Динамичная и бодрящая практика, которая готовит к стойке на предплечьях – Пинче Майюрасане. Укрепляем мышцы плеч, центра тела, работаем с гибкостью плечевых суставов, ног, вытяжением фронтальной поверхности тела, и, конечно, не забываем о разных направлениях подвижности позвоночника. Все для того, чтобы впоследствии легче дышалось, легче шагалось и легче павлиньего пера взлеталось в стойку на предплечьях:)».
00:10 приветств</x:t>
  </x:si>
  <x:si>
    <x:t xml:space="preserve">Плечи, руки и запястья; Растяжка и подвижность; Сила и выносливость; Расслабление и замедление; Зарядка и пробуждение; Освоение асан и балансов</x:t>
  </x:si>
  <x:si>
    <x:t xml:space="preserve">Плечи, руки и запястья: пинч, плеч, плечев, предплеч, рук; Растяжка и подвижность: гибк; Сила и выносливость: укреп; Расслабление и замедление: расслаб; Зарядка и пробуждение: бодр; Освоение асан и балансов: освоен, пинч, стойк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</x:si>
  <x:si>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 и сказать спасибо - 
https://boosty.to/milkyveganyoga
Либо это можно сделать переводом на карту по номеру: 
5536 9138 7915 8802
Это видео будет полезно тем, кто чувствует напряжение или дискомфорт в спине. Если вы мало двига</x:t>
  </x:si>
  <x:si>
    <x:t xml:space="preserve">Здоровая спина; Растяжка и подвижность; Расслабление и замедление</x:t>
  </x:si>
  <x:si>
    <x:t xml:space="preserve">Здоровая спина; Расслабление и замедление</x:t>
  </x:si>
  <x:si>
    <x:t xml:space="preserve">Здоровая спина: спин; Растяжка и подвижность: вытяж; Расслабление и замедление: расслаб, спокойн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</x:si>
  <x:si>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 и сказать спасибо - 
https://boosty.to/milkyveganyoga
Либо это можно сделать переводом на карту по номеру: 
5536 9138 7915 8802
Короткий, но эффективный комплекс йоги всего за 10 минут позволит проработать всё тело. Подойдет</x:t>
  </x:si>
  <x:si>
    <x:t xml:space="preserve">Кор и пресс: живот, пресс, талия; Сила и выносливость: интенсив</x:t>
  </x:si>
  <x:si>
    <x:t xml:space="preserve">Freuders - онлайн платформа по подбору психологов
https://freuders.com/?utm_source=bloggers&amp;utm_medium=milkyveganyoga
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канал, можно оформить подписку или сказать спасибо - отправив донейшн (Карты РФ или любой другой страны) - https</x:t>
  </x:si>
  <x:si>
    <x:t xml:space="preserve">Расслабление и замедление: расслаб, стресс</x:t>
  </x:si>
  <x:si>
    <x:t xml:space="preserve">👉🏻  Еженедельные онлайн-практики в zoom: 
https://www.milkyveganyoga.com/registration
👉🏻 Телеграм канал: https://t.me/milkyveganyoga
👉🏻 Ещё больше практик со мной: 
https://www.milkyveganyoga.com/onlineyoga
👉🏻 😊Если видео было вам полезно, и вы хотели бы поддержать канал и сказать спасибо - 
https://boosty.to/milkyveganyoga
Либо это можно сделать переводом на карту по номеру: 
5536 9138 7915 8802
Данный комплекс йоги направлен на укрепление нашего кора: мышц пресса, спины, диафрагмы и тазово</x:t>
  </x:si>
  <x:si>
    <x:t xml:space="preserve">Здоровая спина; Тазобедренные и шпагаты; Кор и пресс; Растяжка и подвижность; Сила и выносливость; Зарядка и пробуждение; Освоение асан и балансов</x:t>
  </x:si>
  <x:si>
    <x:t xml:space="preserve">Здоровая спина; Кор и пресс; Сила и выносливость</x:t>
  </x:si>
  <x:si>
    <x:t xml:space="preserve">Здоровая спина: осанк, позвоноч, поясниц, спин; Тазобедренные и шпагаты: тазов; Кор и пресс: кор, кора, пресс, тазового дна; Растяжка и подвижность: гибк; Сила и выносливость: вынослив, силы, укреп; Зарядка и пробуждение: утрен; Освоение асан и балансов: баланс</x:t>
  </x:si>
  <x:si>
    <x:t xml:space="preserve">Тазобедренные и шпагаты: бедр; Расслабление и замедление: вечерн, медлен, мягк, расслаб, релакс, стресс</x:t>
  </x:si>
  <x:si>
    <x:t xml:space="preserve">Мои курсы https://maristretching.skillspace.ru/school/courses
Комплекс для раскрытия грудного отдела, завернутых плеч, укрепления спины и растяжки поможет обрести легкость в спинке и избавиться от дискомфорта🤍 
Мой курс "Здоровье и баланс" на платформе SkillSpace доступен на сайте и в мобильном приложении https://maristretching.skillspace.ru/course/17021/about 
Мой курс "Классический пилатес" на платформе SkillSpace доступен на сайте и в мобильном приложении https://maristretching.skillspace.</x:t>
  </x:si>
  <x:si>
    <x:t xml:space="preserve">Здоровая спина; Плечи, руки и запястья; Сила и выносливость</x:t>
  </x:si>
  <x:si>
    <x:t xml:space="preserve">Здоровая спина: грудного отдел, осанк, спин; Плечи, руки и запястья: плеч; Сила и выносливость: укреп</x:t>
  </x:si>
  <x:si>
    <x:t xml:space="preserve">7 минут интенсивной йога-разминки с ведущим преподавателем Jivamukti Yoga в России Яной Ли.
Классы йоги различных направлений в студии и онлайн в Jivamukti Yoga Material Moscow. Актуальное расписание: https://material.yoga/raspisanie
#jivamukti #jivamuktiyoga #jivamuktiyogamaterialmoscow #jivamuktiyogamoscow</x:t>
  </x:si>
  <x:si>
    <x:t xml:space="preserve">Кор и пресс; Сила и выносливость; Зарядка и пробуждение</x:t>
  </x:si>
  <x:si>
    <x:t xml:space="preserve">Сила и выносливость; Зарядка и пробуждение</x:t>
  </x:si>
  <x:si>
    <x:t xml:space="preserve">Кор и пресс: кор; Сила и выносливость: интенсив, силов; Зарядка и пробуждение: разминк</x:t>
  </x:si>
  <x:si>
    <x:t xml:space="preserve">Переходи в мой телеграм-бот, чтобы ежедневно получать короткие практики с ютуба от моих любимых преподавателей йоги 👇
@YogaDailyBot</x:t>
  </x:si>
  <x:si>
    <x:t xml:space="preserve">Освоение асан и балансов: позы воина</x:t>
  </x:si>
  <x:si>
    <x:t xml:space="preserve">Короткая эффективная интенсивная практика с акцентом на укрепление мышц спины и плечевого пояса. Для бодрого дня, хорошего настроения, здорового тела :)</x:t>
  </x:si>
  <x:si>
    <x:t xml:space="preserve">Здоровая спина; Плечи, руки и запястья; Сила и выносливость; Зарядка и пробуждение</x:t>
  </x:si>
  <x:si>
    <x:t xml:space="preserve">Здоровая спина: спин; Плечи, руки и запястья: плеч, плечев; Сила и выносливость: укреп; Зарядка и пробуждение: бодр</x:t>
  </x:si>
  <x:si>
    <x:t xml:space="preserve">Растяжка и подвижность: вытяж</x:t>
  </x:si>
  <x:si>
    <x:t xml:space="preserve">Частые слова и фразы</x:t>
  </x:si>
  <x:si>
    <x:t xml:space="preserve">Стоп-слова вроде «йога», «практика» и «минут» исключены. Формы слов не лемматизированы: лист нужен как сырьё, а не как готовая таксономия.</x:t>
  </x:si>
  <x:si>
    <x:t xml:space="preserve">Слово в названиях</x:t>
  </x:si>
  <x:si>
    <x:t xml:space="preserve">Слово в названии + описаниях</x:t>
  </x:si>
  <x:si>
    <x:t xml:space="preserve">зарядка</x:t>
  </x:si>
  <x:si>
    <x:t xml:space="preserve">онлайн</x:t>
  </x:si>
  <x:si>
    <x:t xml:space="preserve">спины</x:t>
  </x:si>
  <x:si>
    <x:t xml:space="preserve">вам</x:t>
  </x:si>
  <x:si>
    <x:t xml:space="preserve">тренировка</x:t>
  </x:si>
  <x:si>
    <x:t xml:space="preserve">канал</x:t>
  </x:si>
  <x:si>
    <x:t xml:space="preserve">акцентом</x:t>
  </x:si>
  <x:si>
    <x:t xml:space="preserve">мной</x:t>
  </x:si>
  <x:si>
    <x:t xml:space="preserve">jivamukti</x:t>
  </x:si>
  <x:si>
    <x:t xml:space="preserve">телеграм</x:t>
  </x:si>
  <x:si>
    <x:t xml:space="preserve">тела</x:t>
  </x:si>
  <x:si>
    <x:t xml:space="preserve">видео</x:t>
  </x:si>
  <x:si>
    <x:t xml:space="preserve">стоя</x:t>
  </x:si>
  <x:si>
    <x:t xml:space="preserve">было</x:t>
  </x:si>
  <x:si>
    <x:t xml:space="preserve">тело</x:t>
  </x:si>
  <x:si>
    <x:t xml:space="preserve">onlineyoga</x:t>
  </x:si>
  <x:si>
    <x:t xml:space="preserve">плеч</x:t>
  </x:si>
  <x:si>
    <x:t xml:space="preserve">полезно</x:t>
  </x:si>
  <x:si>
    <x:t xml:space="preserve">шеи</x:t>
  </x:si>
  <x:si>
    <x:t xml:space="preserve">поддержать</x:t>
  </x:si>
  <x:si>
    <x:t xml:space="preserve">мягкая</x:t>
  </x:si>
  <x:si>
    <x:t xml:space="preserve">хотели</x:t>
  </x:si>
  <x:si>
    <x:t xml:space="preserve">виньяса</x:t>
  </x:si>
  <x:si>
    <x:t xml:space="preserve">milkyveganyoga</x:t>
  </x:si>
  <x:si>
    <x:t xml:space="preserve">укрепление</x:t>
  </x:si>
  <x:si>
    <x:t xml:space="preserve">еженедельные</x:t>
  </x:si>
  <x:si>
    <x:t xml:space="preserve">растяжка</x:t>
  </x:si>
  <x:si>
    <x:t xml:space="preserve">registration</x:t>
  </x:si>
  <x:si>
    <x:t xml:space="preserve">без</x:t>
  </x:si>
  <x:si>
    <x:t xml:space="preserve">zoom</x:t>
  </x:si>
  <x:si>
    <x:t xml:space="preserve">разминка</x:t>
  </x:si>
  <x:si>
    <x:t xml:space="preserve">комплекс</x:t>
  </x:si>
  <x:si>
    <x:t xml:space="preserve">или</x:t>
  </x:si>
  <x:si>
    <x:t xml:space="preserve">расслабление</x:t>
  </x:si>
  <x:si>
    <x:t xml:space="preserve">спасибо</x:t>
  </x:si>
  <x:si>
    <x:t xml:space="preserve">все</x:t>
  </x:si>
  <x:si>
    <x:t xml:space="preserve">сказать</x:t>
  </x:si>
  <x:si>
    <x:t xml:space="preserve">осанки</x:t>
  </x:si>
  <x:si>
    <x:t xml:space="preserve">больше</x:t>
  </x:si>
  <x:si>
    <x:t xml:space="preserve">наклоны</x:t>
  </x:si>
  <x:si>
    <x:t xml:space="preserve">сделать</x:t>
  </x:si>
  <x:si>
    <x:t xml:space="preserve">vinyasa</x:t>
  </x:si>
  <x:si>
    <x:t xml:space="preserve">ещё</x:t>
  </x:si>
  <x:si>
    <x:t xml:space="preserve">интенсивная</x:t>
  </x:si>
  <x:si>
    <x:t xml:space="preserve">хатха</x:t>
  </x:si>
  <x:si>
    <x:t xml:space="preserve">практик</x:t>
  </x:si>
  <x:si>
    <x:t xml:space="preserve">начинающих</x:t>
  </x:si>
  <x:si>
    <x:t xml:space="preserve">кора</x:t>
  </x:si>
  <x:si>
    <x:t xml:space="preserve">рук</x:t>
  </x:si>
  <x:si>
    <x:t xml:space="preserve">класс</x:t>
  </x:si>
  <x:si>
    <x:t xml:space="preserve">студии</x:t>
  </x:si>
  <x:si>
    <x:t xml:space="preserve">освоение</x:t>
  </x:si>
  <x:si>
    <x:t xml:space="preserve">баланс</x:t>
  </x:si>
  <x:si>
    <x:t xml:space="preserve">когда</x:t>
  </x:si>
  <x:si>
    <x:t xml:space="preserve">силовая</x:t>
  </x:si>
  <x:si>
    <x:t xml:space="preserve">boosty</x:t>
  </x:si>
  <x:si>
    <x:t xml:space="preserve">руках</x:t>
  </x:si>
  <x:si>
    <x:t xml:space="preserve">оформить</x:t>
  </x:si>
  <x:si>
    <x:t xml:space="preserve">подписку</x:t>
  </x:si>
  <x:si>
    <x:t xml:space="preserve">нет</x:t>
  </x:si>
  <x:si>
    <x:t xml:space="preserve">мин</x:t>
  </x:si>
  <x:si>
    <x:t xml:space="preserve">чтобы</x:t>
  </x:si>
  <x:si>
    <x:t xml:space="preserve">пресс</x:t>
  </x:si>
  <x:si>
    <x:t xml:space="preserve">поможет</x:t>
  </x:si>
  <x:si>
    <x:t xml:space="preserve">табата</x:t>
  </x:si>
  <x:si>
    <x:t xml:space="preserve">любой</x:t>
  </x:si>
  <x:si>
    <x:t xml:space="preserve">григорьевой</x:t>
  </x:si>
  <x:si>
    <x:t xml:space="preserve">номеру</x:t>
  </x:si>
  <x:si>
    <x:t xml:space="preserve">дарьей</x:t>
  </x:si>
  <x:si>
    <x:t xml:space="preserve">карту</x:t>
  </x:si>
  <x:si>
    <x:t xml:space="preserve">дни</x:t>
  </x:si>
  <x:si>
    <x:t xml:space="preserve">либо</x:t>
  </x:si>
  <x:si>
    <x:t xml:space="preserve">критические</x:t>
  </x:si>
  <x:si>
    <x:t xml:space="preserve">переводом</x:t>
  </x:si>
  <x:si>
    <x:t xml:space="preserve">упражнения</x:t>
  </x:si>
  <x:si>
    <x:t xml:space="preserve">эта</x:t>
  </x:si>
  <x:si>
    <x:t xml:space="preserve">уровня</x:t>
  </x:si>
  <x:si>
    <x:t xml:space="preserve">время</x:t>
  </x:si>
  <x:si>
    <x:t xml:space="preserve">перелета</x:t>
  </x:si>
  <x:si>
    <x:t xml:space="preserve">где</x:t>
  </x:si>
  <x:si>
    <x:t xml:space="preserve">мышц</x:t>
  </x:si>
  <x:si>
    <x:t xml:space="preserve">мышцы</x:t>
  </x:si>
  <x:si>
    <x:t xml:space="preserve">хануманасана</x:t>
  </x:si>
  <x:si>
    <x:t xml:space="preserve">кошкаровой</x:t>
  </x:si>
  <x:si>
    <x:t xml:space="preserve">сегодня</x:t>
  </x:si>
  <x:si>
    <x:t xml:space="preserve">анной</x:t>
  </x:si>
  <x:si>
    <x:t xml:space="preserve">страны</x:t>
  </x:si>
  <x:si>
    <x:t xml:space="preserve">лунеговой</x:t>
  </x:si>
  <x:si>
    <x:t xml:space="preserve">даже</x:t>
  </x:si>
  <x:si>
    <x:t xml:space="preserve">ума</x:t>
  </x:si>
  <x:si>
    <x:t xml:space="preserve">карты</x:t>
  </x:si>
  <x:si>
    <x:t xml:space="preserve">коврика</x:t>
  </x:si>
  <x:si>
    <x:t xml:space="preserve">отправив</x:t>
  </x:si>
  <x:si>
    <x:t xml:space="preserve">расслабления</x:t>
  </x:si>
  <x:si>
    <x:t xml:space="preserve">донейшн</x:t>
  </x:si>
  <x:si>
    <x:t xml:space="preserve">полтавец</x:t>
  </x:si>
  <x:si>
    <x:t xml:space="preserve">другой</x:t>
  </x:si>
  <x:si>
    <x:t xml:space="preserve">софьей</x:t>
  </x:si>
  <x:si>
    <x:t xml:space="preserve">коврик</x:t>
  </x:si>
  <x:si>
    <x:t xml:space="preserve">сбалансированный</x:t>
  </x:si>
  <x:si>
    <x:t xml:space="preserve">времени</x:t>
  </x:si>
  <x:si>
    <x:t xml:space="preserve">отеков</x:t>
  </x:si>
  <x:si>
    <x:t xml:space="preserve">ног</x:t>
  </x:si>
  <x:si>
    <x:t xml:space="preserve">воду</x:t>
  </x:si>
  <x:si>
    <x:t xml:space="preserve">различных</x:t>
  </x:si>
  <x:si>
    <x:t xml:space="preserve">убираем</x:t>
  </x:si>
  <x:si>
    <x:t xml:space="preserve">material</x:t>
  </x:si>
  <x:si>
    <x:t xml:space="preserve">лишнюю</x:t>
  </x:si>
  <x:si>
    <x:t xml:space="preserve">позы</x:t>
  </x:si>
  <x:si>
    <x:t xml:space="preserve">здоровой</x:t>
  </x:si>
  <x:si>
    <x:t xml:space="preserve">подойдет</x:t>
  </x:si>
  <x:si>
    <x:t xml:space="preserve">аштавакрасана</x:t>
  </x:si>
  <x:si>
    <x:t xml:space="preserve">данный</x:t>
  </x:si>
  <x:si>
    <x:t xml:space="preserve">красивой</x:t>
  </x:si>
  <x:si>
    <x:t xml:space="preserve">напряжение</x:t>
  </x:si>
  <x:si>
    <x:t xml:space="preserve">раскрытие</x:t>
  </x:si>
  <x:si>
    <x:t xml:space="preserve">суставов</x:t>
  </x:si>
  <x:si>
    <x:t xml:space="preserve">яной</x:t>
  </x:si>
  <x:si>
    <x:t xml:space="preserve">планке</x:t>
  </x:si>
  <x:si>
    <x:t xml:space="preserve">тиминутка</x:t>
  </x:si>
  <x:si>
    <x:t xml:space="preserve">внимание</x:t>
  </x:si>
  <x:si>
    <x:t xml:space="preserve">функциональная</x:t>
  </x:si>
  <x:si>
    <x:t xml:space="preserve">donate</x:t>
  </x:si>
  <x:si>
    <x:t xml:space="preserve">утренняя</x:t>
  </x:si>
  <x:si>
    <x:t xml:space="preserve">дживамукти</x:t>
  </x:si>
  <x:si>
    <x:t xml:space="preserve">актуальное</x:t>
  </x:si>
  <x:si>
    <x:t xml:space="preserve">продвинутый</x:t>
  </x:si>
  <x:si>
    <x:t xml:space="preserve">расписание</x:t>
  </x:si>
  <x:si>
    <x:t xml:space="preserve">уровень</x:t>
  </x:si>
  <x:si>
    <x:t xml:space="preserve">направлений</x:t>
  </x:si>
  <x:si>
    <x:t xml:space="preserve">подведение</x:t>
  </x:si>
  <x:si>
    <x:t xml:space="preserve">raspisanie</x:t>
  </x:si>
  <x:si>
    <x:t xml:space="preserve">зариной</x:t>
  </x:si>
  <x:si>
    <x:t xml:space="preserve">классы</x:t>
  </x:si>
  <x:si>
    <x:t xml:space="preserve">поперечному</x:t>
  </x:si>
  <x:si>
    <x:t xml:space="preserve">moscow</x:t>
  </x:si>
  <x:si>
    <x:t xml:space="preserve">зубковой</x:t>
  </x:si>
  <x:si>
    <x:t xml:space="preserve">шпагату</x:t>
  </x:si>
  <x:si>
    <x:t xml:space="preserve">практику</x:t>
  </x:si>
  <x:si>
    <x:t xml:space="preserve">местом</x:t>
  </x:si>
  <x:si>
    <x:t xml:space="preserve">выполнять</x:t>
  </x:si>
  <x:si>
    <x:t xml:space="preserve">рабочим</x:t>
  </x:si>
  <x:si>
    <x:t xml:space="preserve">приглашаю</x:t>
  </x:si>
  <x:si>
    <x:t xml:space="preserve">освобождение</x:t>
  </x:si>
  <x:si>
    <x:t xml:space="preserve">обид</x:t>
  </x:si>
  <x:si>
    <x:t xml:space="preserve">снять</x:t>
  </x:si>
  <x:si>
    <x:t xml:space="preserve">среднего</x:t>
  </x:si>
  <x:si>
    <x:t xml:space="preserve">элементами</x:t>
  </x:si>
  <x:si>
    <x:t xml:space="preserve">движение</x:t>
  </x:si>
  <x:si>
    <x:t xml:space="preserve">арно</x:t>
  </x:si>
  <x:si>
    <x:t xml:space="preserve">комплексные</x:t>
  </x:si>
  <x:si>
    <x:t xml:space="preserve">тоней</x:t>
  </x:si>
  <x:si>
    <x:t xml:space="preserve">инь</x:t>
  </x:si>
  <x:si>
    <x:t xml:space="preserve">jivamuktiyoga</x:t>
  </x:si>
  <x:si>
    <x:t xml:space="preserve">jivamuktiyogamaterialmoscow</x:t>
  </x:si>
  <x:si>
    <x:t xml:space="preserve">куратовой</x:t>
  </x:si>
  <x:si>
    <x:t xml:space="preserve">себя</x:t>
  </x:si>
  <x:si>
    <x:t xml:space="preserve">длительного</x:t>
  </x:si>
  <x:si>
    <x:t xml:space="preserve">сидения</x:t>
  </x:si>
  <x:si>
    <x:t xml:space="preserve">грудной</x:t>
  </x:si>
  <x:si>
    <x:t xml:space="preserve">еленой</x:t>
  </x:si>
  <x:si>
    <x:t xml:space="preserve">активные</x:t>
  </x:si>
  <x:si>
    <x:t xml:space="preserve">дыхание</x:t>
  </x:si>
  <x:si>
    <x:t xml:space="preserve">warrior</x:t>
  </x:si>
  <x:si>
    <x:t xml:space="preserve">мой</x:t>
  </x:si>
  <x:si>
    <x:t xml:space="preserve">spiritual</x:t>
  </x:si>
  <x:si>
    <x:t xml:space="preserve">курс</x:t>
  </x:si>
  <x:si>
    <x:t xml:space="preserve">татьяной</x:t>
  </x:si>
  <x:si>
    <x:t xml:space="preserve">позвоночника</x:t>
  </x:si>
  <x:si>
    <x:t xml:space="preserve">нога</x:t>
  </x:si>
  <x:si>
    <x:t xml:space="preserve">базового</x:t>
  </x:si>
  <x:si>
    <x:t xml:space="preserve">головой</x:t>
  </x:si>
  <x:si>
    <x:t xml:space="preserve">кто</x:t>
  </x:si>
  <x:si>
    <x:t xml:space="preserve">татьяны</x:t>
  </x:si>
  <x:si>
    <x:t xml:space="preserve">себе</x:t>
  </x:si>
  <x:si>
    <x:t xml:space="preserve">направление</x:t>
  </x:si>
  <x:si>
    <x:t xml:space="preserve">очень</x:t>
  </x:si>
  <x:si>
    <x:t xml:space="preserve">шпагат</x:t>
  </x:si>
  <x:si>
    <x:t xml:space="preserve">почувствуй</x:t>
  </x:si>
  <x:si>
    <x:t xml:space="preserve">гетманом</x:t>
  </x:si>
  <x:si>
    <x:t xml:space="preserve">кириллом</x:t>
  </x:si>
  <x:si>
    <x:t xml:space="preserve">продольный</x:t>
  </x:si>
  <x:si>
    <x:t xml:space="preserve">карпуть</x:t>
  </x:si>
  <x:si>
    <x:t xml:space="preserve">ольгой</x:t>
  </x:si>
  <x:si>
    <x:t xml:space="preserve">падмасаны</x:t>
  </x:si>
  <x:si>
    <x:t xml:space="preserve">асаны</x:t>
  </x:si>
  <x:si>
    <x:t xml:space="preserve">гибкой</x:t>
  </x:si>
  <x:si>
    <x:t xml:space="preserve">отлично</x:t>
  </x:si>
  <x:si>
    <x:t xml:space="preserve">сильной</x:t>
  </x:si>
  <x:si>
    <x:t xml:space="preserve">дня</x:t>
  </x:si>
  <x:si>
    <x:t xml:space="preserve">сила</x:t>
  </x:si>
  <x:si>
    <x:t xml:space="preserve">через</x:t>
  </x:si>
  <x:si>
    <x:t xml:space="preserve">подробным</x:t>
  </x:si>
  <x:si>
    <x:t xml:space="preserve">легкая</x:t>
  </x:si>
  <x:si>
    <x:t xml:space="preserve">нуля</x:t>
  </x:si>
  <x:si>
    <x:t xml:space="preserve">хочется</x:t>
  </x:si>
  <x:si>
    <x:t xml:space="preserve">разбором</x:t>
  </x:si>
  <x:si>
    <x:t xml:space="preserve">короткая</x:t>
  </x:si>
  <x:si>
    <x:t xml:space="preserve">внутрь</x:t>
  </x:si>
  <x:si>
    <x:t xml:space="preserve">движения</x:t>
  </x:si>
  <x:si>
    <x:t xml:space="preserve">внимания</x:t>
  </x:si>
  <x:si>
    <x:t xml:space="preserve">оно</x:t>
  </x:si>
  <x:si>
    <x:t xml:space="preserve">минимум</x:t>
  </x:si>
  <x:si>
    <x:t xml:space="preserve">заниматься</x:t>
  </x:si>
  <x:si>
    <x:t xml:space="preserve">спокойствия</x:t>
  </x:si>
  <x:si>
    <x:t xml:space="preserve">хотите</x:t>
  </x:si>
  <x:si>
    <x:t xml:space="preserve">максимум</x:t>
  </x:si>
  <x:si>
    <x:t xml:space="preserve">новый</x:t>
  </x:si>
  <x:si>
    <x:t xml:space="preserve">отстроек</x:t>
  </x:si>
  <x:si>
    <x:t xml:space="preserve">найти</x:t>
  </x:si>
  <x:si>
    <x:t xml:space="preserve">над</x:t>
  </x:si>
  <x:si>
    <x:t xml:space="preserve">раскрепощение</x:t>
  </x:si>
  <x:si>
    <x:t xml:space="preserve">скованности</x:t>
  </x:si>
  <x:si>
    <x:t xml:space="preserve">значит</x:t>
  </x:si>
  <x:si>
    <x:t xml:space="preserve">продолжающих</x:t>
  </x:si>
  <x:si>
    <x:t xml:space="preserve">его</x:t>
  </x:si>
  <x:si>
    <x:t xml:space="preserve">нагрузки</x:t>
  </x:si>
  <x:si>
    <x:t xml:space="preserve">каждое</x:t>
  </x:si>
  <x:si>
    <x:t xml:space="preserve">руки</x:t>
  </x:si>
  <x:si>
    <x:t xml:space="preserve">напряжения</x:t>
  </x:si>
  <x:si>
    <x:t xml:space="preserve">перезагрузки</x:t>
  </x:si>
  <x:si>
    <x:t xml:space="preserve">нужно</x:t>
  </x:si>
  <x:si>
    <x:t xml:space="preserve">офисе</x:t>
  </x:si>
  <x:si>
    <x:t xml:space="preserve">есть</x:t>
  </x:si>
  <x:si>
    <x:t xml:space="preserve">быстрой</x:t>
  </x:si>
  <x:si>
    <x:t xml:space="preserve">стойки</x:t>
  </x:si>
  <x:si>
    <x:t xml:space="preserve">jivamuktiyogamoscow</x:t>
  </x:si>
  <x:si>
    <x:t xml:space="preserve">любом</x:t>
  </x:si>
  <x:si>
    <x:t xml:space="preserve">кор</x:t>
  </x:si>
  <x:si>
    <x:t xml:space="preserve">месте</x:t>
  </x:si>
  <x:si>
    <x:t xml:space="preserve">разогрев</x:t>
  </x:si>
  <x:si>
    <x:t xml:space="preserve">много</x:t>
  </x:si>
  <x:si>
    <x:t xml:space="preserve">мягкий</x:t>
  </x:si>
  <x:si>
    <x:t xml:space="preserve">так</x:t>
  </x:si>
  <x:si>
    <x:t xml:space="preserve">сил</x:t>
  </x:si>
  <x:si>
    <x:t xml:space="preserve">вытяжение</x:t>
  </x:si>
  <x:si>
    <x:t xml:space="preserve">силы</x:t>
  </x:si>
  <x:si>
    <x:t xml:space="preserve">сильнее</x:t>
  </x:si>
  <x:si>
    <x:t xml:space="preserve">чатуранг</x:t>
  </x:si>
  <x:si>
    <x:t xml:space="preserve">позвоночник</x:t>
  </x:si>
  <x:si>
    <x:t xml:space="preserve">зоны</x:t>
  </x:si>
  <x:si>
    <x:t xml:space="preserve">собой</x:t>
  </x:si>
  <x:si>
    <x:t xml:space="preserve">здоровья</x:t>
  </x:si>
  <x:si>
    <x:t xml:space="preserve">воротниковой</x:t>
  </x:si>
  <x:si>
    <x:t xml:space="preserve">совсем</x:t>
  </x:si>
  <x:si>
    <x:t xml:space="preserve">шейно</x:t>
  </x:si>
  <x:si>
    <x:t xml:space="preserve">таймером</x:t>
  </x:si>
  <x:si>
    <x:t xml:space="preserve">отдел</x:t>
  </x:si>
  <x:si>
    <x:t xml:space="preserve">короткий</x:t>
  </x:si>
  <x:si>
    <x:t xml:space="preserve">утро</x:t>
  </x:si>
  <x:si>
    <x:t xml:space="preserve">просто</x:t>
  </x:si>
  <x:si>
    <x:t xml:space="preserve">бережная</x:t>
  </x:si>
  <x:si>
    <x:t xml:space="preserve">избавиться</x:t>
  </x:si>
  <x:si>
    <x:t xml:space="preserve">королевской</x:t>
  </x:si>
  <x:si>
    <x:t xml:space="preserve">екатериной</x:t>
  </x:si>
  <x:si>
    <x:t xml:space="preserve">про</x:t>
  </x:si>
  <x:si>
    <x:t xml:space="preserve">сорокиной</x:t>
  </x:si>
  <x:si>
    <x:t xml:space="preserve">всё</x:t>
  </x:si>
  <x:si>
    <x:t xml:space="preserve">любого</x:t>
  </x:si>
  <x:si>
    <x:t xml:space="preserve">телу</x:t>
  </x:si>
  <x:si>
    <x:t xml:space="preserve">всех</x:t>
  </x:si>
  <x:si>
    <x:t xml:space="preserve">ведущим</x:t>
  </x:si>
  <x:si>
    <x:t xml:space="preserve">релакс</x:t>
  </x:si>
  <x:si>
    <x:t xml:space="preserve">holi</x:t>
  </x:si>
  <x:si>
    <x:t xml:space="preserve">vvprofitness</x:t>
  </x:si>
  <x:si>
    <x:t xml:space="preserve">намаскар</x:t>
  </x:si>
  <x:si>
    <x:t xml:space="preserve">стройность</x:t>
  </x:si>
  <x:si>
    <x:t xml:space="preserve">сурья</x:t>
  </x:si>
  <x:si>
    <x:t xml:space="preserve">солнцу</x:t>
  </x:si>
  <x:si>
    <x:t xml:space="preserve">нравится</x:t>
  </x:si>
  <x:si>
    <x:t xml:space="preserve">приветствия</x:t>
  </x:si>
  <x:si>
    <x:t xml:space="preserve">результат</x:t>
  </x:si>
  <x:si>
    <x:t xml:space="preserve">варианты</x:t>
  </x:si>
  <x:si>
    <x:t xml:space="preserve">yogamix</x:t>
  </x:si>
  <x:si>
    <x:t xml:space="preserve">запястий</x:t>
  </x:si>
  <x:si>
    <x:t xml:space="preserve">системно</x:t>
  </x:si>
  <x:si>
    <x:t xml:space="preserve">укрепления</x:t>
  </x:si>
  <x:si>
    <x:t xml:space="preserve">дальше</x:t>
  </x:si>
  <x:si>
    <x:t xml:space="preserve">простая</x:t>
  </x:si>
  <x:si>
    <x:t xml:space="preserve">асан</x:t>
  </x:si>
  <x:si>
    <x:t xml:space="preserve">лопаток</x:t>
  </x:si>
  <x:si>
    <x:t xml:space="preserve">подробнее</x:t>
  </x:si>
  <x:si>
    <x:t xml:space="preserve">счастливых</x:t>
  </x:si>
  <x:si>
    <x:t xml:space="preserve">прогрессировать</x:t>
  </x:si>
  <x:si>
    <x:t xml:space="preserve">экспресс</x:t>
  </x:si>
  <x:si>
    <x:t xml:space="preserve">оздоровление</x:t>
  </x:si>
  <x:si>
    <x:t xml:space="preserve">цапкиной</x:t>
  </x:si>
  <x:si>
    <x:t xml:space="preserve">боли</x:t>
  </x:si>
  <x:si>
    <x:t xml:space="preserve">power</x:t>
  </x:si>
  <x:si>
    <x:t xml:space="preserve">укреплением</x:t>
  </x:si>
  <x:si>
    <x:t xml:space="preserve">рушаной</x:t>
  </x:si>
  <x:si>
    <x:t xml:space="preserve">любимая</x:t>
  </x:si>
  <x:si>
    <x:t xml:space="preserve">кровати</x:t>
  </x:si>
  <x:si>
    <x:t xml:space="preserve">сложности</x:t>
  </x:si>
  <x:si>
    <x:t xml:space="preserve">коврике</x:t>
  </x:si>
  <x:si>
    <x:t xml:space="preserve">того</x:t>
  </x:si>
  <x:si>
    <x:t xml:space="preserve">анико</x:t>
  </x:si>
  <x:si>
    <x:t xml:space="preserve">упражнений</x:t>
  </x:si>
  <x:si>
    <x:t xml:space="preserve">кайфануть</x:t>
  </x:si>
  <x:si>
    <x:t xml:space="preserve">такой</x:t>
  </x:si>
  <x:si>
    <x:t xml:space="preserve">тазобедренных</x:t>
  </x:si>
  <x:si>
    <x:t xml:space="preserve">улучшает</x:t>
  </x:si>
  <x:si>
    <x:t xml:space="preserve">грудного</x:t>
  </x:si>
  <x:si>
    <x:t xml:space="preserve">дискомфорт</x:t>
  </x:si>
  <x:si>
    <x:t xml:space="preserve">отдела</x:t>
  </x:si>
  <x:si>
    <x:t xml:space="preserve">выполняй</x:t>
  </x:si>
  <x:si>
    <x:t xml:space="preserve">правильная</x:t>
  </x:si>
  <x:si>
    <x:t xml:space="preserve">поток</x:t>
  </x:si>
  <x:si>
    <x:t xml:space="preserve">йоге</x:t>
  </x:si>
  <x:si>
    <x:t xml:space="preserve">почувствовать</x:t>
  </x:si>
  <x:si>
    <x:t xml:space="preserve">связь</x:t>
  </x:si>
  <x:si>
    <x:t xml:space="preserve">флоу</x:t>
  </x:si>
  <x:si>
    <x:t xml:space="preserve">поэтому</x:t>
  </x:si>
  <x:si>
    <x:t xml:space="preserve">гулидой</x:t>
  </x:si>
  <x:si>
    <x:t xml:space="preserve">вместе</x:t>
  </x:si>
  <x:si>
    <x:t xml:space="preserve">марией</x:t>
  </x:si>
  <x:si>
    <x:t xml:space="preserve">пояса</x:t>
  </x:si>
  <x:si>
    <x:t xml:space="preserve">вечерняя</x:t>
  </x:si>
  <x:si>
    <x:t xml:space="preserve">плечевого</x:t>
  </x:si>
  <x:si>
    <x:t xml:space="preserve">тут</x:t>
  </x:si>
  <x:si>
    <x:t xml:space="preserve">здоровый</x:t>
  </x:si>
  <x:si>
    <x:t xml:space="preserve">пробуждающая</x:t>
  </x:si>
  <x:si>
    <x:t xml:space="preserve">положения</x:t>
  </x:si>
  <x:si>
    <x:t xml:space="preserve">благодаря</x:t>
  </x:si>
  <x:si>
    <x:t xml:space="preserve">нужен</x:t>
  </x:si>
  <x:si>
    <x:t xml:space="preserve">силу</x:t>
  </x:si>
  <x:si>
    <x:t xml:space="preserve">light</x:t>
  </x:si>
  <x:si>
    <x:t xml:space="preserve">теле</x:t>
  </x:si>
  <x:si>
    <x:t xml:space="preserve">night</x:t>
  </x:si>
  <x:si>
    <x:t xml:space="preserve">прогибы</x:t>
  </x:si>
  <x:si>
    <x:t xml:space="preserve">пробуждение</x:t>
  </x:si>
  <x:si>
    <x:t xml:space="preserve">приветствие</x:t>
  </x:si>
  <x:si>
    <x:t xml:space="preserve">ленивый</x:t>
  </x:si>
  <x:si>
    <x:t xml:space="preserve">поверхности</x:t>
  </x:si>
  <x:si>
    <x:t xml:space="preserve">shot</x:t>
  </x:si>
  <x:si>
    <x:t xml:space="preserve">красивых</x:t>
  </x:si>
  <x:si>
    <x:t xml:space="preserve">подтянутых</x:t>
  </x:si>
  <x:si>
    <x:t xml:space="preserve">направлена</x:t>
  </x:si>
  <x:si>
    <x:t xml:space="preserve">тем</x:t>
  </x:si>
  <x:si>
    <x:t xml:space="preserve">работы</x:t>
  </x:si>
  <x:si>
    <x:t xml:space="preserve">дней</x:t>
  </x:si>
  <x:si>
    <x:t xml:space="preserve">подходит</x:t>
  </x:si>
  <x:si>
    <x:t xml:space="preserve">ощущение</x:t>
  </x:si>
  <x:si>
    <x:t xml:space="preserve">энергии</x:t>
  </x:si>
  <x:si>
    <x:t xml:space="preserve">выносливости</x:t>
  </x:si>
  <x:si>
    <x:t xml:space="preserve">утром</x:t>
  </x:si>
  <x:si>
    <x:t xml:space="preserve">начнем</x:t>
  </x:si>
  <x:si>
    <x:t xml:space="preserve">при</x:t>
  </x:si>
  <x:si>
    <x:t xml:space="preserve">стресса</x:t>
  </x:si>
  <x:si>
    <x:t xml:space="preserve">расслабиться</x:t>
  </x:si>
  <x:si>
    <x:t xml:space="preserve">уджаи</x:t>
  </x:si>
  <x:si>
    <x:t xml:space="preserve">неделю</x:t>
  </x:si>
  <x:si>
    <x:t xml:space="preserve">тех</x:t>
  </x:si>
  <x:si>
    <x:t xml:space="preserve">забывай</x:t>
  </x:si>
  <x:si>
    <x:t xml:space="preserve">помогает</x:t>
  </x:si>
  <x:si>
    <x:t xml:space="preserve">там</x:t>
  </x:si>
  <x:si>
    <x:t xml:space="preserve">активной</x:t>
  </x:si>
  <x:si>
    <x:t xml:space="preserve">сколько</x:t>
  </x:si>
  <x:si>
    <x:t xml:space="preserve">столько</x:t>
  </x:si>
  <x:si>
    <x:t xml:space="preserve">самое</x:t>
  </x:si>
  <x:si>
    <x:t xml:space="preserve">лучше</x:t>
  </x:si>
  <x:si>
    <x:t xml:space="preserve">можешь</x:t>
  </x:si>
  <x:si>
    <x:t xml:space="preserve">чем</x:t>
  </x:si>
  <x:si>
    <x:t xml:space="preserve">суток</x:t>
  </x:si>
  <x:si>
    <x:t xml:space="preserve">усталость</x:t>
  </x:si>
  <x:si>
    <x:t xml:space="preserve">cafe</x:t>
  </x:si>
  <x:si>
    <x:t xml:space="preserve">инструменты</x:t>
  </x:si>
  <x:si>
    <x:t xml:space="preserve">кухней</x:t>
  </x:si>
  <x:si>
    <x:t xml:space="preserve">новые</x:t>
  </x:si>
  <x:si>
    <x:t xml:space="preserve">понадобятся</x:t>
  </x:si>
  <x:si>
    <x:t xml:space="preserve">малая</x:t>
  </x:si>
  <x:si>
    <x:t xml:space="preserve">преподавательским</x:t>
  </x:si>
  <x:si>
    <x:t xml:space="preserve">присоединяйтесь</x:t>
  </x:si>
  <x:si>
    <x:t xml:space="preserve">community</x:t>
  </x:si>
  <x:si>
    <x:t xml:space="preserve">развития</x:t>
  </x:si>
  <x:si>
    <x:t xml:space="preserve">holistic</x:t>
  </x:si>
  <x:si>
    <x:t xml:space="preserve">открывайте</x:t>
  </x:si>
  <x:si>
    <x:t xml:space="preserve">Фраза из названий</x:t>
  </x:si>
  <x:si>
    <x:t xml:space="preserve">шеи плеч</x:t>
  </x:si>
  <x:si>
    <x:t xml:space="preserve">тренировка пресс</x:t>
  </x:si>
  <x:si>
    <x:t xml:space="preserve">табата тренировка</x:t>
  </x:si>
  <x:si>
    <x:t xml:space="preserve">дарьей григорьевой</x:t>
  </x:si>
  <x:si>
    <x:t xml:space="preserve">критические дни</x:t>
  </x:si>
  <x:si>
    <x:t xml:space="preserve">упражнения шеи</x:t>
  </x:si>
  <x:si>
    <x:t xml:space="preserve">укрепление мышц</x:t>
  </x:si>
  <x:si>
    <x:t xml:space="preserve">анной лунеговой</x:t>
  </x:si>
  <x:si>
    <x:t xml:space="preserve">jivamukti освоение</x:t>
  </x:si>
  <x:si>
    <x:t xml:space="preserve">без коврика</x:t>
  </x:si>
  <x:si>
    <x:t xml:space="preserve">разминка стоя</x:t>
  </x:si>
  <x:si>
    <x:t xml:space="preserve">когда нет</x:t>
  </x:si>
  <x:si>
    <x:t xml:space="preserve">класс софьей</x:t>
  </x:si>
  <x:si>
    <x:t xml:space="preserve">сбалансированный класс</x:t>
  </x:si>
  <x:si>
    <x:t xml:space="preserve">софьей полтавец</x:t>
  </x:si>
  <x:si>
    <x:t xml:space="preserve">хатха сбалансированный</x:t>
  </x:si>
  <x:si>
    <x:t xml:space="preserve">нет времени</x:t>
  </x:si>
  <x:si>
    <x:t xml:space="preserve">отеков убираем</x:t>
  </x:si>
  <x:si>
    <x:t xml:space="preserve">лишнюю воду</x:t>
  </x:si>
  <x:si>
    <x:t xml:space="preserve">убираем лишнюю</x:t>
  </x:si>
  <x:si>
    <x:t xml:space="preserve">комплекс отеков</x:t>
  </x:si>
  <x:si>
    <x:t xml:space="preserve">акцентом позы</x:t>
  </x:si>
  <x:si>
    <x:t xml:space="preserve">здоровой спины</x:t>
  </x:si>
  <x:si>
    <x:t xml:space="preserve">тренировка кора</x:t>
  </x:si>
  <x:si>
    <x:t xml:space="preserve">руках аштавакрасана</x:t>
  </x:si>
  <x:si>
    <x:t xml:space="preserve">баланс руках</x:t>
  </x:si>
  <x:si>
    <x:t xml:space="preserve">функциональная зарядка</x:t>
  </x:si>
  <x:si>
    <x:t xml:space="preserve">наклоны дарьей</x:t>
  </x:si>
  <x:si>
    <x:t xml:space="preserve">дживамукти наклоны</x:t>
  </x:si>
  <x:si>
    <x:t xml:space="preserve">зубковой продвинутый</x:t>
  </x:si>
  <x:si>
    <x:t xml:space="preserve">зариной зубковой</x:t>
  </x:si>
  <x:si>
    <x:t xml:space="preserve">подведение поперечному</x:t>
  </x:si>
  <x:si>
    <x:t xml:space="preserve">продвинутый уровень</x:t>
  </x:si>
  <x:si>
    <x:t xml:space="preserve">поперечному шпагату</x:t>
  </x:si>
  <x:si>
    <x:t xml:space="preserve">шпагату зариной</x:t>
  </x:si>
  <x:si>
    <x:t xml:space="preserve">рабочим местом</x:t>
  </x:si>
  <x:si>
    <x:t xml:space="preserve">плеч рабочим</x:t>
  </x:si>
  <x:si>
    <x:t xml:space="preserve">vinyasa освобождение</x:t>
  </x:si>
  <x:si>
    <x:t xml:space="preserve">освобождение обид</x:t>
  </x:si>
  <x:si>
    <x:t xml:space="preserve">среднего уровня</x:t>
  </x:si>
  <x:si>
    <x:t xml:space="preserve">элементами среднего</x:t>
  </x:si>
  <x:si>
    <x:t xml:space="preserve">интенсивная элементами</x:t>
  </x:si>
  <x:si>
    <x:t xml:space="preserve">хатха начинающих</x:t>
  </x:si>
  <x:si>
    <x:t xml:space="preserve">тоней арно</x:t>
  </x:si>
  <x:si>
    <x:t xml:space="preserve">инь тоней</x:t>
  </x:si>
  <x:si>
    <x:t xml:space="preserve">мягкая длительного</x:t>
  </x:si>
  <x:si>
    <x:t xml:space="preserve">перелета или</x:t>
  </x:si>
  <x:si>
    <x:t xml:space="preserve">длительного перелета</x:t>
  </x:si>
  <x:si>
    <x:t xml:space="preserve">сидения еленой</x:t>
  </x:si>
  <x:si>
    <x:t xml:space="preserve">или сидения</x:t>
  </x:si>
  <x:si>
    <x:t xml:space="preserve">еленой куратовой</x:t>
  </x:si>
  <x:si>
    <x:t xml:space="preserve">кора рук</x:t>
  </x:si>
  <x:si>
    <x:t xml:space="preserve">виньяса акцентом</x:t>
  </x:si>
  <x:si>
    <x:t xml:space="preserve">мышц кора</x:t>
  </x:si>
  <x:si>
    <x:t xml:space="preserve">акцентом укрепление</x:t>
  </x:si>
  <x:si>
    <x:t xml:space="preserve">активные наклоны</x:t>
  </x:si>
  <x:si>
    <x:t xml:space="preserve">ног активные</x:t>
  </x:si>
  <x:si>
    <x:t xml:space="preserve">хануманасана укрепление</x:t>
  </x:si>
  <x:si>
    <x:t xml:space="preserve">укрепление ног</x:t>
  </x:si>
  <x:si>
    <x:t xml:space="preserve">татьяной кошкаровой</x:t>
  </x:si>
  <x:si>
    <x:t xml:space="preserve">warrior татьяной</x:t>
  </x:si>
  <x:si>
    <x:t xml:space="preserve">jivamukti spiritual</x:t>
  </x:si>
  <x:si>
    <x:t xml:space="preserve">spiritual warrior</x:t>
  </x:si>
  <x:si>
    <x:t xml:space="preserve">направление нога</x:t>
  </x:si>
  <x:si>
    <x:t xml:space="preserve">класс татьяны</x:t>
  </x:si>
  <x:si>
    <x:t xml:space="preserve">кошкаровой акцентом</x:t>
  </x:si>
  <x:si>
    <x:t xml:space="preserve">нога головой</x:t>
  </x:si>
  <x:si>
    <x:t xml:space="preserve">татьяны кошкаровой</x:t>
  </x:si>
  <x:si>
    <x:t xml:space="preserve">акцентом направление</x:t>
  </x:si>
  <x:si>
    <x:t xml:space="preserve">хануманасана продольный</x:t>
  </x:si>
  <x:si>
    <x:t xml:space="preserve">шпагат кириллом</x:t>
  </x:si>
  <x:si>
    <x:t xml:space="preserve">продольный шпагат</x:t>
  </x:si>
  <x:si>
    <x:t xml:space="preserve">кириллом гетманом</x:t>
  </x:si>
  <x:si>
    <x:t xml:space="preserve">лунеговой ольгой</x:t>
  </x:si>
  <x:si>
    <x:t xml:space="preserve">ольгой карпуть</x:t>
  </x:si>
  <x:si>
    <x:t xml:space="preserve">jivamukti анной</x:t>
  </x:si>
  <x:si>
    <x:t xml:space="preserve">освоение падмасаны</x:t>
  </x:si>
  <x:si>
    <x:t xml:space="preserve">падмасаны дарьей</x:t>
  </x:si>
  <x:si>
    <x:t xml:space="preserve">сильной гибкой</x:t>
  </x:si>
  <x:si>
    <x:t xml:space="preserve">гибкой спины</x:t>
  </x:si>
  <x:si>
    <x:t xml:space="preserve">сила баланс</x:t>
  </x:si>
  <x:si>
    <x:t xml:space="preserve">легкая подробным</x:t>
  </x:si>
  <x:si>
    <x:t xml:space="preserve">начинающих мягкая</x:t>
  </x:si>
  <x:si>
    <x:t xml:space="preserve">нуля начинающих</x:t>
  </x:si>
  <x:si>
    <x:t xml:space="preserve">мягкая легкая</x:t>
  </x:si>
  <x:si>
    <x:t xml:space="preserve">подробным разбором</x:t>
  </x:si>
  <x:si>
    <x:t xml:space="preserve">отстроек максимум</x:t>
  </x:si>
  <x:si>
    <x:t xml:space="preserve">растяжка спокойствия</x:t>
  </x:si>
  <x:si>
    <x:t xml:space="preserve">максимум внимания</x:t>
  </x:si>
  <x:si>
    <x:t xml:space="preserve">минимум отстроек</x:t>
  </x:si>
  <x:si>
    <x:t xml:space="preserve">внимания внутрь</x:t>
  </x:si>
  <x:si>
    <x:t xml:space="preserve">внутрь себя</x:t>
  </x:si>
  <x:si>
    <x:t xml:space="preserve">спокойствия ума</x:t>
  </x:si>
  <x:si>
    <x:t xml:space="preserve">ума минимум</x:t>
  </x:si>
  <x:si>
    <x:t xml:space="preserve">мягкая растяжка</x:t>
  </x:si>
  <x:si>
    <x:t xml:space="preserve">скованности раскрепощение</x:t>
  </x:si>
  <x:si>
    <x:t xml:space="preserve">раскрепощение тела</x:t>
  </x:si>
  <x:si>
    <x:t xml:space="preserve">силовая продолжающих</x:t>
  </x:si>
  <x:si>
    <x:t xml:space="preserve">начинающих без</x:t>
  </x:si>
  <x:si>
    <x:t xml:space="preserve">без нагрузки</x:t>
  </x:si>
  <x:si>
    <x:t xml:space="preserve">нагрузки руки</x:t>
  </x:si>
  <x:si>
    <x:t xml:space="preserve">перезагрузки тела</x:t>
  </x:si>
  <x:si>
    <x:t xml:space="preserve">быстрой перезагрузки</x:t>
  </x:si>
  <x:si>
    <x:t xml:space="preserve">офисе быстрой</x:t>
  </x:si>
  <x:si>
    <x:t xml:space="preserve">руках анной</x:t>
  </x:si>
  <x:si>
    <x:t xml:space="preserve">стойки руках</x:t>
  </x:si>
  <x:si>
    <x:t xml:space="preserve">освоение стойки</x:t>
  </x:si>
  <x:si>
    <x:t xml:space="preserve">любом месте</x:t>
  </x:si>
  <x:si>
    <x:t xml:space="preserve">коврика стоя</x:t>
  </x:si>
  <x:si>
    <x:t xml:space="preserve">месте без</x:t>
  </x:si>
  <x:si>
    <x:t xml:space="preserve">стоя зарядка</x:t>
  </x:si>
  <x:si>
    <x:t xml:space="preserve">зарядка разогрев</x:t>
  </x:si>
  <x:si>
    <x:t xml:space="preserve">нет сил</x:t>
  </x:si>
  <x:si>
    <x:t xml:space="preserve">тренировка когда</x:t>
  </x:si>
  <x:si>
    <x:t xml:space="preserve">мягкий комплекс</x:t>
  </x:si>
  <x:si>
    <x:t xml:space="preserve">комплекс тела</x:t>
  </x:si>
  <x:si>
    <x:t xml:space="preserve">тела тренировка</x:t>
  </x:si>
  <x:si>
    <x:t xml:space="preserve">дни расслабления</x:t>
  </x:si>
  <x:si>
    <x:t xml:space="preserve">мягкая критические</x:t>
  </x:si>
  <x:si>
    <x:t xml:space="preserve">Как собран отчёт</x:t>
  </x:si>
  <x:si>
    <x:t xml:space="preserve">Дата среза</x:t>
  </x:si>
  <x:si>
    <x:t xml:space="preserve">2026-08-05</x:t>
  </x:si>
  <x:si>
    <x:t xml:space="preserve">Источник</x:t>
  </x:si>
  <x:si>
    <x:t xml:space="preserve">PostgreSQL: yoga_practices + mood_practices</x:t>
  </x:si>
  <x:si>
    <x:t xml:space="preserve">Режим</x:t>
  </x:si>
  <x:si>
    <x:t xml:space="preserve">Read-only; данные в базе не изменялись</x:t>
  </x:si>
  <x:si>
    <x:t xml:space="preserve">Корпус</x:t>
  </x:si>
  <x:si>
    <x:t xml:space="preserve">101 практик: 70 yoga + 31 mood</x:t>
  </x:si>
  <x:si>
    <x:t xml:space="preserve">Шаг</x:t>
  </x:si>
  <x:si>
    <x:t xml:space="preserve">Что делаем</x:t>
  </x:si>
  <x:si>
    <x:t xml:space="preserve">Зачем</x:t>
  </x:si>
  <x:si>
    <x:t xml:space="preserve">Ограничение</x:t>
  </x:si>
  <x:si>
    <x:t xml:space="preserve">1</x:t>
  </x:si>
  <x:si>
    <x:t xml:space="preserve">Берём title и my_description</x:t>
  </x:si>
  <x:si>
    <x:t xml:space="preserve">Это самые сильные и осмысленные сигналы</x:t>
  </x:si>
  <x:si>
    <x:t xml:space="preserve">YouTube-description показано для контекста, но не участвует в группировке</x:t>
  </x:si>
  <x:si>
    <x:t xml:space="preserve">2</x:t>
  </x:si>
  <x:si>
    <x:t xml:space="preserve">Ищем слова и корни слов из рабочего словаря</x:t>
  </x:si>
  <x:si>
    <x:t xml:space="preserve">Объединяем русские формы и синонимы</x:t>
  </x:si>
  <x:si>
    <x:t xml:space="preserve">Словарь черновой; нужна смысловая проверка</x:t>
  </x:si>
  <x:si>
    <x:t xml:space="preserve">3</x:t>
  </x:si>
  <x:si>
    <x:t xml:space="preserve">Присваиваем несколько групп</x:t>
  </x:si>
  <x:si>
    <x:t xml:space="preserve">Одна практика может быть и про спину, и про растяжку</x:t>
  </x:si>
  <x:si>
    <x:t xml:space="preserve">Наличие слова не всегда равно главному фокусу</x:t>
  </x:si>
  <x:si>
    <x:t xml:space="preserve">4</x:t>
  </x:si>
  <x:si>
    <x:t xml:space="preserve">Считаем объёмы и пересечения</x:t>
  </x:si>
  <x:si>
    <x:t xml:space="preserve">Проверяем, есть ли достаточно контента для будущей кнопки</x:t>
  </x:si>
  <x:si>
    <x:t xml:space="preserve">Популярность у пользователей ещё не измерена</x:t>
  </x:si>
  <x:si>
    <x:t xml:space="preserve">Исходное решение</x:t>
  </x:si>
  <x:si>
    <x:t xml:space="preserve">Статус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</x:si>
</x:sst>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8756F"/>
      <x:name val="Carlito"/>
    </x:font>
    <x:font>
      <x:b/>
      <x:sz val="11"/>
      <x:color rgb="FFFFFFFF"/>
      <x:name val="Carlito"/>
    </x:font>
    <x:font>
      <x:sz val="10"/>
      <x:color rgb="FF24352F"/>
      <x:name val="Carlito"/>
    </x:font>
    <x:font>
      <x:b/>
      <x:sz val="11"/>
      <x:color rgb="FF24352F"/>
      <x:name val="Carlito"/>
    </x:font>
    <x:font>
      <x:b/>
      <x:sz val="22"/>
      <x:color rgb="FFC97C4D"/>
      <x:name val="Carlito"/>
    </x:font>
    <x:font>
      <x:b/>
      <x:sz val="10"/>
      <x:color rgb="FFFFFFFF"/>
      <x:name val="Carlito"/>
    </x:font>
    <x:font>
      <x:sz val="11"/>
      <x:color rgb="FF24352F"/>
      <x:name val="Carlito"/>
    </x:font>
    <x:font>
      <x:sz val="11"/>
      <x:name val="Carlito"/>
    </x:font>
    <x:font>
      <x:b/>
      <x:sz val="11"/>
      <x:color rgb="FFFFFFFF"/>
      <x:name val="Carlito"/>
    </x:font>
    <x:font>
      <x:b/>
      <x:sz val="10"/>
      <x:color rgb="FF24352F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24352F"/>
      </x:patternFill>
    </x:fill>
    <x:fill>
      <x:patternFill patternType="solid">
        <x:fgColor rgb="FFFFF9F0"/>
      </x:patternFill>
    </x:fill>
    <x:fill>
      <x:patternFill patternType="solid">
        <x:fgColor rgb="FF4E765C"/>
      </x:patternFill>
    </x:fill>
    <x:fill>
      <x:patternFill patternType="solid">
        <x:fgColor rgb="FFDCE8DA"/>
      </x:patternFill>
    </x:fill>
    <x:fill>
      <x:patternFill patternType="solid">
        <x:fgColor rgb="FFFFFFFF"/>
      </x:patternFill>
    </x:fill>
    <x:fill>
      <x:patternFill patternType="solid">
        <x:fgColor rgb="FFEAE1F1"/>
      </x:patternFill>
    </x:fill>
    <x:fill>
      <x:patternFill patternType="solid">
        <x:fgColor rgb="FFC1F0C8"/>
      </x:patternFill>
    </x:fill>
    <x:fill>
      <x:patternFill patternType="solid">
        <x:fgColor rgb="FF24352F"/>
      </x:patternFill>
    </x:fill>
    <x:fill>
      <x:patternFill patternType="solid">
        <x:fgColor rgb="FFFFF9F0"/>
      </x:patternFill>
    </x:fill>
    <x:fill>
      <x:patternFill patternType="solid">
        <x:fgColor rgb="FFDCE8DA"/>
      </x:patternFill>
    </x:fill>
    <x:fill>
      <x:patternFill patternType="solid">
        <x:fgColor rgb="FFFFFFFF"/>
      </x:patternFill>
    </x:fill>
    <x:fill>
      <x:patternFill patternType="solid">
        <x:fgColor rgb="FF4E765C"/>
      </x:patternFill>
    </x:fill>
    <x:fill>
      <x:patternFill patternType="solid">
        <x:fgColor rgb="FF24352F"/>
      </x:patternFill>
    </x:fill>
    <x:fill>
      <x:patternFill patternType="solid">
        <x:fgColor rgb="FFFFF9F0"/>
      </x:patternFill>
    </x:fill>
    <x:fill>
      <x:patternFill patternType="solid">
        <x:fgColor rgb="FF4E765C"/>
      </x:patternFill>
    </x:fill>
    <x:fill>
      <x:patternFill patternType="solid">
        <x:fgColor rgb="FFDCE8DA"/>
      </x:patternFill>
    </x:fill>
    <x:fill>
      <x:patternFill patternType="solid">
        <x:fgColor rgb="FFFFFFFF"/>
      </x:patternFill>
    </x:fill>
  </x:fills>
  <x:borders count="11">
    <x:border/>
    <x:border>
      <x:right style="thin">
        <x:color rgb="FFD8DDD8"/>
      </x:right>
    </x:border>
    <x:border>
      <x:left style="thin">
        <x:color rgb="FFD8DDD8"/>
      </x:left>
      <x:right style="thin">
        <x:color rgb="FFD8DDD8"/>
      </x:right>
    </x:border>
    <x:border>
      <x:left style="thin">
        <x:color rgb="FFD8DDD8"/>
      </x:left>
    </x:border>
    <x:border>
      <x:bottom style="thin">
        <x:color rgb="FFD8DDD8"/>
      </x:bottom>
    </x:border>
    <x:border>
      <x:top style="thin">
        <x:color rgb="FFD8DDD8"/>
      </x:top>
      <x:bottom style="thin">
        <x:color rgb="FFD8DDD8"/>
      </x:bottom>
    </x:border>
    <x:border>
      <x:top style="thin">
        <x:color rgb="FFD8DDD8"/>
      </x:top>
    </x:border>
    <x:border>
      <x:left style="thin">
        <x:color rgb="FFD8DDD8"/>
      </x:left>
      <x:top style="thin">
        <x:color rgb="FFD8DDD8"/>
      </x:top>
    </x:border>
    <x:border>
      <x:right style="thin">
        <x:color rgb="FFD8DDD8"/>
      </x:right>
      <x:top style="thin">
        <x:color rgb="FFD8DDD8"/>
      </x:top>
    </x:border>
    <x:border>
      <x:left style="thin">
        <x:color rgb="FFD8DDD8"/>
      </x:left>
      <x:bottom style="thin">
        <x:color rgb="FFD8DDD8"/>
      </x:bottom>
    </x:border>
    <x:border>
      <x:right style="thin">
        <x:color rgb="FFD8DDD8"/>
      </x:right>
      <x:bottom style="thin">
        <x:color rgb="FFD8DDD8"/>
      </x:bottom>
    </x:border>
  </x:borders>
  <x:cellStyleXfs count="2">
    <x:xf numFmtId="0" fontId="0" fillId="0" borderId="0"/>
    <x:xf numFmtId="0" fontId="9" fillId="0" borderId="0"/>
  </x:cellStyleXfs>
  <x:cellXfs count="128">
    <x:xf numFmtId="0" fontId="0" fillId="0" borderId="0" xfId="0"/>
    <x:xf numFmtId="0" fontId="3" fillId="4" borderId="1" xfId="1" applyFont="1" applyFill="1" applyBorder="1" applyAlignment="1">
      <x:alignment vertical="center" wrapText="1"/>
    </x:xf>
    <x:xf numFmtId="0" fontId="3" fillId="4" borderId="2" xfId="1" applyFont="1" applyFill="1" applyBorder="1" applyAlignment="1">
      <x:alignment vertical="center" wrapText="1"/>
    </x:xf>
    <x:xf numFmtId="0" fontId="3" fillId="4" borderId="3" xfId="1" applyFont="1" applyFill="1" applyBorder="1" applyAlignment="1">
      <x:alignment vertical="center" wrapText="1"/>
    </x:xf>
    <x:xf numFmtId="0" fontId="4" fillId="0" borderId="4" xfId="1" applyFont="1" applyBorder="1" applyAlignment="1">
      <x:alignment vertical="top"/>
    </x:xf>
    <x:xf numFmtId="0" fontId="4" fillId="0" borderId="5" xfId="1" applyFont="1" applyBorder="1" applyAlignment="1">
      <x:alignment vertical="top"/>
    </x:xf>
    <x:xf numFmtId="0" fontId="4" fillId="0" borderId="6" xfId="1" applyFont="1" applyBorder="1" applyAlignment="1">
      <x:alignment vertical="top"/>
    </x:xf>
    <x:xf numFmtId="0" fontId="4" fillId="0" borderId="4" xfId="1" applyFont="1" applyBorder="1" applyAlignment="1">
      <x:alignment vertical="top" wrapText="1"/>
    </x:xf>
    <x:xf numFmtId="0" fontId="4" fillId="0" borderId="5" xfId="1" applyFont="1" applyBorder="1" applyAlignment="1">
      <x:alignment vertical="top" wrapText="1"/>
    </x:xf>
    <x:xf numFmtId="0" fontId="4" fillId="0" borderId="6" xfId="1" applyFont="1" applyBorder="1" applyAlignment="1">
      <x:alignment vertical="top" wrapText="1"/>
    </x:xf>
    <x:xf numFmtId="1" fontId="4" fillId="0" borderId="4" xfId="1" applyNumberFormat="1" applyFont="1" applyBorder="1" applyAlignment="1">
      <x:alignment vertical="top"/>
    </x:xf>
    <x:xf numFmtId="1" fontId="4" fillId="0" borderId="5" xfId="1" applyNumberFormat="1" applyFont="1" applyBorder="1" applyAlignment="1">
      <x:alignment vertical="top"/>
    </x:xf>
    <x:xf numFmtId="1" fontId="4" fillId="0" borderId="6" xfId="1" applyNumberFormat="1" applyFont="1" applyBorder="1" applyAlignment="1">
      <x:alignment vertical="top"/>
    </x:xf>
    <x:xf numFmtId="164" fontId="4" fillId="0" borderId="4" xfId="1" applyNumberFormat="1" applyFont="1" applyBorder="1" applyAlignment="1">
      <x:alignment vertical="top"/>
    </x:xf>
    <x:xf numFmtId="164" fontId="4" fillId="0" borderId="5" xfId="1" applyNumberFormat="1" applyFont="1" applyBorder="1" applyAlignment="1">
      <x:alignment vertical="top"/>
    </x:xf>
    <x:xf numFmtId="164" fontId="4" fillId="0" borderId="6" xfId="1" applyNumberFormat="1" applyFont="1" applyBorder="1" applyAlignment="1">
      <x:alignment vertical="top"/>
    </x:xf>
    <x:xf numFmtId="0" fontId="7" fillId="4" borderId="5" xfId="1" applyFont="1" applyFill="1" applyBorder="1" applyAlignment="1">
      <x:alignment vertical="top"/>
    </x:xf>
    <x:xf numFmtId="0" fontId="7" fillId="4" borderId="5" xfId="1" applyFont="1" applyFill="1" applyBorder="1" applyAlignment="1">
      <x:alignment vertical="top" wrapText="1"/>
    </x:xf>
    <x:xf numFmtId="0" fontId="10" fillId="4" borderId="2" xfId="1" applyFont="1" applyFill="1" applyBorder="1" applyAlignment="1">
      <x:alignment vertical="center" wrapText="1"/>
    </x:xf>
    <x:xf numFmtId="0" fontId="11" fillId="0" borderId="4" xfId="1" applyFont="1" applyBorder="1" applyAlignment="1">
      <x:alignment vertical="top" wrapText="1"/>
    </x:xf>
    <x:xf numFmtId="0" fontId="11" fillId="0" borderId="5" xfId="1" applyFont="1" applyBorder="1" applyAlignment="1">
      <x:alignment vertical="top" wrapText="1"/>
    </x:xf>
    <x:xf numFmtId="0" fontId="11" fillId="0" borderId="6" xfId="1" applyFont="1" applyBorder="1" applyAlignment="1">
      <x:alignment vertical="top" wrapText="1"/>
    </x:xf>
    <x:xf numFmtId="0" fontId="12" fillId="0" borderId="0" xfId="0" applyFont="1"/>
    <x:xf numFmtId="0" fontId="11" fillId="0" borderId="5" xfId="0" applyFont="1" applyBorder="1" applyAlignment="1">
      <x:alignment vertical="top" wrapText="1"/>
    </x:xf>
    <x:xf numFmtId="0" fontId="11" fillId="0" borderId="4" xfId="1" applyFont="1" applyBorder="1" applyAlignment="1">
      <x:alignment vertical="top"/>
    </x:xf>
    <x:xf numFmtId="0" fontId="11" fillId="0" borderId="5" xfId="1" applyFont="1" applyBorder="1" applyAlignment="1">
      <x:alignment vertical="top"/>
    </x:xf>
    <x:xf numFmtId="0" fontId="11" fillId="8" borderId="5" xfId="0" applyFont="1" applyFill="1" applyBorder="1" applyAlignment="1">
      <x:alignment vertical="top"/>
    </x:xf>
    <x:xf numFmtId="0" fontId="3" fillId="13" borderId="1" xfId="0" applyFont="1" applyFill="1" applyBorder="1" applyAlignment="1">
      <x:alignment vertical="center" wrapText="1"/>
    </x:xf>
    <x:xf numFmtId="0" fontId="3" fillId="13" borderId="2" xfId="0" applyFont="1" applyFill="1" applyBorder="1" applyAlignment="1">
      <x:alignment vertical="center" wrapText="1"/>
    </x:xf>
    <x:xf numFmtId="0" fontId="3" fillId="13" borderId="3" xfId="0" applyFont="1" applyFill="1" applyBorder="1" applyAlignment="1">
      <x:alignment vertical="center" wrapText="1"/>
    </x:xf>
    <x:xf numFmtId="0" fontId="4" fillId="0" borderId="4" xfId="0" applyFont="1" applyBorder="1" applyAlignment="1">
      <x:alignment vertical="top"/>
    </x:xf>
    <x:xf numFmtId="0" fontId="4" fillId="0" borderId="5" xfId="0" applyFont="1" applyBorder="1" applyAlignment="1">
      <x:alignment vertical="top"/>
    </x:xf>
    <x:xf numFmtId="0" fontId="4" fillId="0" borderId="6" xfId="0" applyFont="1" applyBorder="1" applyAlignment="1">
      <x:alignment vertical="top"/>
    </x:xf>
    <x:xf numFmtId="0" fontId="4" fillId="0" borderId="4" xfId="0" applyFont="1" applyBorder="1" applyAlignment="1">
      <x:alignment vertical="top" wrapText="1"/>
    </x:xf>
    <x:xf numFmtId="0" fontId="4" fillId="0" borderId="5" xfId="0" applyFont="1" applyBorder="1" applyAlignment="1">
      <x:alignment vertical="top" wrapText="1"/>
    </x:xf>
    <x:xf numFmtId="0" fontId="4" fillId="0" borderId="6" xfId="0" applyFont="1" applyBorder="1" applyAlignment="1">
      <x:alignment vertical="top" wrapText="1"/>
    </x:xf>
    <x:xf numFmtId="0" fontId="8" fillId="7" borderId="7" xfId="1" applyFont="1" applyFill="1" applyBorder="1" applyAlignment="1">
      <x:alignment vertical="top" wrapText="1"/>
    </x:xf>
    <x:xf numFmtId="0" fontId="8" fillId="7" borderId="6" xfId="1" applyFont="1" applyFill="1" applyBorder="1" applyAlignment="1">
      <x:alignment vertical="top" wrapText="1"/>
    </x:xf>
    <x:xf numFmtId="0" fontId="8" fillId="7" borderId="8" xfId="1" applyFont="1" applyFill="1" applyBorder="1" applyAlignment="1">
      <x:alignment vertical="top" wrapText="1"/>
    </x:xf>
    <x:xf numFmtId="0" fontId="8" fillId="7" borderId="3" xfId="1" applyFont="1" applyFill="1" applyBorder="1" applyAlignment="1">
      <x:alignment vertical="top" wrapText="1"/>
    </x:xf>
    <x:xf numFmtId="0" fontId="8" fillId="7" borderId="0" xfId="1" applyFont="1" applyFill="1" applyAlignment="1">
      <x:alignment vertical="top" wrapText="1"/>
    </x:xf>
    <x:xf numFmtId="0" fontId="8" fillId="7" borderId="1" xfId="1" applyFont="1" applyFill="1" applyBorder="1" applyAlignment="1">
      <x:alignment vertical="top" wrapText="1"/>
    </x:xf>
    <x:xf numFmtId="0" fontId="8" fillId="7" borderId="9" xfId="1" applyFont="1" applyFill="1" applyBorder="1" applyAlignment="1">
      <x:alignment vertical="top" wrapText="1"/>
    </x:xf>
    <x:xf numFmtId="0" fontId="8" fillId="7" borderId="4" xfId="1" applyFont="1" applyFill="1" applyBorder="1" applyAlignment="1">
      <x:alignment vertical="top" wrapText="1"/>
    </x:xf>
    <x:xf numFmtId="0" fontId="8" fillId="7" borderId="10" xfId="1" applyFont="1" applyFill="1" applyBorder="1" applyAlignment="1">
      <x:alignment vertical="top" wrapText="1"/>
    </x:xf>
    <x:xf numFmtId="0" fontId="6" fillId="6" borderId="7" xfId="1" applyFont="1" applyFill="1" applyBorder="1" applyAlignment="1">
      <x:alignment horizontal="center" vertical="center"/>
    </x:xf>
    <x:xf numFmtId="0" fontId="6" fillId="6" borderId="8" xfId="1" applyFont="1" applyFill="1" applyBorder="1" applyAlignment="1">
      <x:alignment horizontal="center" vertical="center"/>
    </x:xf>
    <x:xf numFmtId="0" fontId="6" fillId="6" borderId="9" xfId="1" applyFont="1" applyFill="1" applyBorder="1" applyAlignment="1">
      <x:alignment horizontal="center" vertical="center"/>
    </x:xf>
    <x:xf numFmtId="0" fontId="6" fillId="6" borderId="10" xfId="1" applyFont="1" applyFill="1" applyBorder="1" applyAlignment="1">
      <x:alignment horizontal="center" vertical="center"/>
    </x:xf>
    <x:xf numFmtId="0" fontId="3" fillId="4" borderId="1" xfId="1" applyFont="1" applyFill="1" applyBorder="1" applyAlignment="1">
      <x:alignment vertical="center" wrapText="1"/>
    </x:xf>
    <x:xf numFmtId="0" fontId="3" fillId="4" borderId="2" xfId="1" applyFont="1" applyFill="1" applyBorder="1" applyAlignment="1">
      <x:alignment vertical="center" wrapText="1"/>
    </x:xf>
    <x:xf numFmtId="0" fontId="3" fillId="4" borderId="3" xfId="1" applyFont="1" applyFill="1" applyBorder="1" applyAlignment="1">
      <x:alignment vertical="center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wrapText="1"/>
    </x:xf>
    <x:xf numFmtId="0" fontId="5" fillId="5" borderId="0" xfId="1" applyFont="1" applyFill="1" applyAlignment="1">
      <x:alignment horizontal="center"/>
    </x:xf>
    <x:xf numFmtId="0" fontId="6" fillId="6" borderId="6" xfId="1" applyFont="1" applyFill="1" applyBorder="1" applyAlignment="1">
      <x:alignment horizontal="center" vertical="center"/>
    </x:xf>
    <x:xf numFmtId="0" fontId="6" fillId="6" borderId="4" xfId="1" applyFont="1" applyFill="1" applyBorder="1" applyAlignment="1">
      <x:alignment horizontal="center" vertical="center"/>
    </x:xf>
    <x:xf numFmtId="0" fontId="1" fillId="9" borderId="0" xfId="0" applyFont="1" applyFill="1" applyAlignment="1">
      <x:alignment vertical="center"/>
    </x:xf>
    <x:xf numFmtId="0" fontId="2" fillId="10" borderId="0" xfId="0" applyFont="1" applyFill="1" applyAlignment="1">
      <x:alignment vertical="center" wrapText="1"/>
    </x:xf>
    <x:xf numFmtId="0" fontId="5" fillId="11" borderId="0" xfId="0" applyFont="1" applyFill="1" applyAlignment="1">
      <x:alignment horizontal="center"/>
    </x:xf>
    <x:xf numFmtId="0" fontId="6" fillId="12" borderId="7" xfId="0" applyFont="1" applyFill="1" applyBorder="1" applyAlignment="1">
      <x:alignment horizontal="center" vertical="center"/>
    </x:xf>
    <x:xf numFmtId="0" fontId="6" fillId="12" borderId="6" xfId="0" applyFont="1" applyFill="1" applyBorder="1" applyAlignment="1">
      <x:alignment horizontal="center" vertical="center"/>
    </x:xf>
    <x:xf numFmtId="0" fontId="6" fillId="12" borderId="8" xfId="0" applyFont="1" applyFill="1" applyBorder="1" applyAlignment="1">
      <x:alignment horizontal="center" vertical="center"/>
    </x:xf>
    <x:xf numFmtId="0" fontId="6" fillId="12" borderId="9" xfId="0" applyFont="1" applyFill="1" applyBorder="1" applyAlignment="1">
      <x:alignment horizontal="center" vertical="center"/>
    </x:xf>
    <x:xf numFmtId="0" fontId="6" fillId="12" borderId="4" xfId="0" applyFont="1" applyFill="1" applyBorder="1" applyAlignment="1">
      <x:alignment horizontal="center" vertical="center"/>
    </x:xf>
    <x:xf numFmtId="0" fontId="6" fillId="12" borderId="10" xfId="0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7" xfId="0" applyNumberFormat="1" applyFont="1" applyFill="1" applyBorder="1"/>
    <x:xf numFmtId="0" fontId="6" fillId="18" borderId="6" xfId="0" applyNumberFormat="1" applyFont="1" applyFill="1" applyBorder="1"/>
    <x:xf numFmtId="0" fontId="6" fillId="18" borderId="8" xfId="0" applyNumberFormat="1" applyFont="1" applyFill="1" applyBorder="1"/>
    <x:xf numFmtId="0" fontId="6" fillId="18" borderId="9" xfId="0" applyNumberFormat="1" applyFont="1" applyFill="1" applyBorder="1"/>
    <x:xf numFmtId="0" fontId="6" fillId="18" borderId="4" xfId="0" applyNumberFormat="1" applyFont="1" applyFill="1" applyBorder="1"/>
    <x:xf numFmtId="0" fontId="6" fillId="18" borderId="10" xfId="0" applyNumberFormat="1" applyFont="1" applyFill="1" applyBorder="1"/>
    <x:xf numFmtId="0" fontId="6" fillId="18" borderId="7" xfId="0" applyNumberFormat="1" applyFont="1" applyFill="1" applyBorder="1" applyAlignment="1">
      <x:alignment horizontal="center"/>
    </x:xf>
    <x:xf numFmtId="0" fontId="6" fillId="18" borderId="6" xfId="0" applyNumberFormat="1" applyFont="1" applyFill="1" applyBorder="1" applyAlignment="1">
      <x:alignment horizontal="center"/>
    </x:xf>
    <x:xf numFmtId="0" fontId="6" fillId="18" borderId="8" xfId="0" applyNumberFormat="1" applyFont="1" applyFill="1" applyBorder="1" applyAlignment="1">
      <x:alignment horizontal="center"/>
    </x:xf>
    <x:xf numFmtId="0" fontId="6" fillId="18" borderId="9" xfId="0" applyNumberFormat="1" applyFont="1" applyFill="1" applyBorder="1" applyAlignment="1">
      <x:alignment horizontal="center"/>
    </x:xf>
    <x:xf numFmtId="0" fontId="6" fillId="18" borderId="4" xfId="0" applyNumberFormat="1" applyFont="1" applyFill="1" applyBorder="1" applyAlignment="1">
      <x:alignment horizontal="center"/>
    </x:xf>
    <x:xf numFmtId="0" fontId="6" fillId="18" borderId="10" xfId="0" applyNumberFormat="1" applyFont="1" applyFill="1" applyBorder="1" applyAlignment="1">
      <x:alignment horizontal="center"/>
    </x:xf>
    <x:xf numFmtId="0" fontId="6" fillId="18" borderId="7" xfId="0" applyNumberFormat="1" applyFont="1" applyFill="1" applyBorder="1" applyAlignment="1">
      <x:alignment horizontal="center" vertical="center"/>
    </x:xf>
    <x:xf numFmtId="0" fontId="6" fillId="18" borderId="6" xfId="0" applyNumberFormat="1" applyFont="1" applyFill="1" applyBorder="1" applyAlignment="1">
      <x:alignment horizontal="center" vertical="center"/>
    </x:xf>
    <x:xf numFmtId="0" fontId="6" fillId="18" borderId="8" xfId="0" applyNumberFormat="1" applyFont="1" applyFill="1" applyBorder="1" applyAlignment="1">
      <x:alignment horizontal="center" vertical="center"/>
    </x:xf>
    <x:xf numFmtId="0" fontId="6" fillId="18" borderId="9" xfId="0" applyNumberFormat="1" applyFont="1" applyFill="1" applyBorder="1" applyAlignment="1">
      <x:alignment horizontal="center" vertical="center"/>
    </x:xf>
    <x:xf numFmtId="0" fontId="6" fillId="18" borderId="4" xfId="0" applyNumberFormat="1" applyFont="1" applyFill="1" applyBorder="1" applyAlignment="1">
      <x:alignment horizontal="center" vertical="center"/>
    </x:xf>
    <x:xf numFmtId="0" fontId="6" fillId="18" borderId="10" xfId="0" applyNumberFormat="1" applyFont="1" applyFill="1" applyBorder="1" applyAlignment="1">
      <x:alignment horizontal="center" vertical="center"/>
    </x:xf>
    <x:xf numFmtId="0" fontId="3" fillId="16" borderId="1" xfId="0" applyNumberFormat="1" applyFont="1" applyFill="1" applyBorder="1"/>
    <x:xf numFmtId="0" fontId="3" fillId="16" borderId="2" xfId="0" applyNumberFormat="1" applyFont="1" applyFill="1" applyBorder="1"/>
    <x:xf numFmtId="0" fontId="3" fillId="16" borderId="3" xfId="0" applyNumberFormat="1" applyFont="1" applyFill="1" applyBorder="1"/>
    <x:xf numFmtId="0" fontId="3" fillId="16" borderId="1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wrapText="1"/>
    </x:xf>
    <x:xf numFmtId="0" fontId="3" fillId="16" borderId="3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horizontal="center" wrapText="1"/>
    </x:xf>
    <x:xf numFmtId="0" fontId="3" fillId="16" borderId="2" xfId="0" applyNumberFormat="1" applyFont="1" applyFill="1" applyBorder="1" applyAlignment="1">
      <x:alignment horizontal="center" wrapText="1"/>
    </x:xf>
    <x:xf numFmtId="0" fontId="3" fillId="16" borderId="3" xfId="0" applyNumberFormat="1" applyFont="1" applyFill="1" applyBorder="1" applyAlignment="1">
      <x:alignment horizont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3" fillId="16" borderId="2" xfId="0" applyNumberFormat="1" applyFont="1" applyFill="1" applyBorder="1" applyAlignment="1">
      <x:alignment horizontal="center" vertical="center" wrapText="1"/>
    </x:xf>
    <x:xf numFmtId="0" fontId="3" fillId="16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3" fillId="16" borderId="0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</x:cellXfs>
  <x:cellStyles count="2">
    <x:cellStyle name="Обычный" xfId="0"/>
    <x:cellStyle name="Normal" xfId="1"/>
  </x:cellStyles>
  <x:dxfs count="37">
    <x:dxf>
      <x:fill>
        <x:patternFill>
          <x:bgColor rgb="FFFFF0C7"/>
        </x:patternFill>
      </x:fill>
    </x:dxf>
    <x:dxf>
      <x:fill>
        <x:patternFill>
          <x:bgColor rgb="FFDDEFE2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ont>
        <x:color rgb="FF4E765C"/>
      </x:font>
      <x:fill>
        <x:patternFill>
          <x:bgColor rgb="FFDDF2E2"/>
        </x:patternFill>
      </x:fill>
    </x:dxf>
    <x:dxf>
      <x:font>
        <x:color rgb="FF9B3C30"/>
      </x:font>
      <x:fill>
        <x:patternFill>
          <x:bgColor rgb="FFF7D8D3"/>
        </x:patternFill>
      </x:fill>
    </x:dxf>
    <x:dxf>
      <x:fill>
        <x:patternFill>
          <x:bgColor rgb="FFFFF0C7"/>
        </x:patternFill>
      </x:fill>
    </x:dxf>
    <x:dxf>
      <x:fill>
        <x:patternFill>
          <x:bgColor rgb="FFFFF0C7"/>
        </x:patternFill>
      </x:fill>
    </x:dxf>
    <x:dxf>
      <x:font>
        <x:b/>
      </x:font>
    </x:dxf>
    <x:dxf>
      <x:font>
        <x:b/>
      </x:font>
    </x:dxf>
    <x:dxf>
      <x:font>
        <x:b/>
        <x:color rgb="FF8B2F24"/>
      </x:font>
      <x:fill>
        <x:patternFill patternType="solid">
          <x:bgColor rgb="FFF7C8BE"/>
        </x:patternFill>
      </x:fill>
    </x:dxf>
    <x:dxf>
      <x:font>
        <x:b/>
        <x:color rgb="FF24352F"/>
      </x:font>
      <x:fill>
        <x:patternFill patternType="solid">
          <x:bgColor rgb="FFFFF0C7"/>
        </x:patternFill>
      </x:fill>
    </x:dxf>
    <x:dxf>
      <x:font>
        <x:color rgb="FF24352F"/>
      </x:font>
      <x:fill>
        <x:patternFill patternType="solid">
          <x:bgColor rgb="FFDDEFE2"/>
        </x:patternFill>
      </x:fill>
    </x:dxf>
    <x:dxf>
      <x:font>
        <x:b/>
        <x:color rgb="FF8B2F24"/>
      </x:font>
      <x:fill>
        <x:patternFill patternType="solid">
          <x:bgColor rgb="FFF7C8BE"/>
        </x:patternFill>
      </x:fill>
    </x:dxf>
    <x:dxf>
      <x:font>
        <x:b/>
        <x:color rgb="FF24352F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9d839d0c842e7" /><Relationship Type="http://schemas.openxmlformats.org/officeDocument/2006/relationships/theme" Target="/xl/theme/theme1.xml" Id="R36fcacb7f1994c42" /><Relationship Type="http://schemas.openxmlformats.org/officeDocument/2006/relationships/sharedStrings" Target="/xl/sharedStrings.xml" Id="Rfbbc3a36dc034209" /><Relationship Type="http://schemas.openxmlformats.org/officeDocument/2006/relationships/worksheet" Target="/xl/worksheets/sheet1.xml" Id="Rac6fde1c9ff2464f" /><Relationship Type="http://schemas.openxmlformats.org/officeDocument/2006/relationships/worksheet" Target="/xl/worksheets/sheet2.xml" Id="R6741026794a44477" /><Relationship Type="http://schemas.openxmlformats.org/officeDocument/2006/relationships/worksheet" Target="/xl/worksheets/sheet3.xml" Id="Rca410c771f2f414d" /><Relationship Type="http://schemas.openxmlformats.org/officeDocument/2006/relationships/worksheet" Target="/xl/worksheets/sheet4.xml" Id="Rff8b49dd37a544d6" /><Relationship Type="http://schemas.openxmlformats.org/officeDocument/2006/relationships/worksheet" Target="/xl/worksheets/sheet5.xml" Id="Rc56d07417c744451" /><Relationship Type="http://schemas.openxmlformats.org/officeDocument/2006/relationships/worksheet" Target="/xl/worksheets/sheet6.xml" Id="R0f32208f0e854cf8" /><Relationship Type="http://schemas.openxmlformats.org/officeDocument/2006/relationships/worksheet" Target="/xl/worksheets/sheet7.xml" Id="R2f45feeef72b4ce9" /><Relationship Type="http://schemas.openxmlformats.org/officeDocument/2006/relationships/worksheet" Target="/xl/worksheets/sheet8.xml" Id="R8d504db108434d7d" /><Relationship Type="http://schemas.openxmlformats.org/officeDocument/2006/relationships/worksheet" Target="/xl/worksheets/sheet9.xml" Id="R55953a0caf5542f0" /><Relationship Type="http://schemas.openxmlformats.org/officeDocument/2006/relationships/worksheet" Target="/xl/worksheets/sheet10.xml" Id="Rcb66b2204e93430b" /><Relationship Type="http://schemas.openxmlformats.org/officeDocument/2006/relationships/worksheet" Target="/xl/worksheets/sheet11.xml" Id="R139104fd074a4497" /></Relationships>
</file>

<file path=xl/tables/table1.xml><?xml version="1.0" encoding="utf-8"?>
<x:table xmlns:x="http://schemas.openxmlformats.org/spreadsheetml/2006/main" id="2" name="MvpReviewTable" displayName="MvpReviewTable" ref="A8:M109" totalsRowShown="0">
  <x:tableColumns count="13">
    <x:tableColumn id="1" name="Каталог"/>
    <x:tableColumn id="2" name="ID"/>
    <x:tableColumn id="3" name="Название"/>
    <x:tableColumn id="4" name="Мин"/>
    <x:tableColumn id="5" name="Сложность"/>
    <x:tableColumn id="6" name="Моё описание"/>
    <x:tableColumn id="7" name="Предложенный focus" dataDxfId="31"/>
    <x:tableColumn id="8" name="Почему попала"/>
    <x:tableColumn id="9" name="Источник сигнала"/>
    <x:tableColumn id="10" name="URL"/>
    <x:tableColumn id="11" name="Решение" dataDxfId="30"/>
    <x:tableColumn id="12" name="Добавить focus"/>
    <x:tableColumn id="13" name="Комментарий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" name="ConceptsTable" displayName="ConceptsTable" ref="A4:G16" totalsRowShown="0">
  <x:tableColumns count="7">
    <x:tableColumn id="1" name="Группа"/>
    <x:tableColumn id="2" name="Практик"/>
    <x:tableColumn id="3" name="Доля"/>
    <x:tableColumn id="4" name="В названиях"/>
    <x:tableColumn id="5" name="Рабочие слова/паттерны"/>
    <x:tableColumn id="6" name="Примеры"/>
    <x:tableColumn id="7" name="Предварительное наблюдение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CrossingsTable" displayName="CrossingsTable" ref="A4:D45" totalsRowShown="0">
  <x:tableColumns count="4">
    <x:tableColumn id="1" name="Группа 1"/>
    <x:tableColumn id="2" name="Группа 2"/>
    <x:tableColumn id="3" name="Практик"/>
    <x:tableColumn id="4" name="Доля библиотеки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PracticesTable" displayName="PracticesTable" ref="A4:N105" totalsRowShown="0">
  <x:tableColumns count="14">
    <x:tableColumn id="1" name="Каталог"/>
    <x:tableColumn id="2" name="ID"/>
    <x:tableColumn id="3" name="Название"/>
    <x:tableColumn id="4" name="Мин"/>
    <x:tableColumn id="5" name="Сложность"/>
    <x:tableColumn id="6" name="Моё описание"/>
    <x:tableColumn id="7" name="YouTube-описание"/>
    <x:tableColumn id="8" name="Предложенные группы"/>
    <x:tableColumn id="9" name="Группы по названию"/>
    <x:tableColumn id="10" name="Найденные слова"/>
    <x:tableColumn id="11" name="Уверенность"/>
    <x:tableColumn id="12" name="Статус проверки"/>
    <x:tableColumn id="13" name="Подтверждённый focus"/>
    <x:tableColumn id="14" name="UR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FinalFocusTable" displayName="FinalFocusTable" ref="A8:I109" totalsRowShown="0">
  <x:tableColumns count="9">
    <x:tableColumn id="1" name="Каталог"/>
    <x:tableColumn id="2" name="ID"/>
    <x:tableColumn id="3" name="Название"/>
    <x:tableColumn id="4" name="Мин"/>
    <x:tableColumn id="5" name="Исходное решение"/>
    <x:tableColumn id="6" name="Итоговый focus"/>
    <x:tableColumn id="7" name="Кандидаты focus"/>
    <x:tableColumn id="8" name="Статус"/>
    <x:tableColumn id="9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gLongTable" displayName="TegLongTable" ref="A4:D203" headerRowCount="1" totalsRowCount="0" totalsRowShown="0">
  <x:tableColumns count="4">
    <x:tableColumn id="1" name="Каталог"/>
    <x:tableColumn id="2" name="ID"/>
    <x:tableColumn id="3" name="Мин"/>
    <x:tableColumn id="4" name="te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312d1e45a4b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d8ceb11264e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9cbfe0240a42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44c011ea54e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db09af61f57447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ebc608f6ad7c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1" customWidth="1"/>
    <x:col min="2" max="3" width="11" customWidth="1"/>
    <x:col min="4" max="4" width="39" customWidth="1"/>
    <x:col min="5" max="5" width="4" customWidth="1"/>
    <x:col min="6" max="8" width="22" customWidth="1"/>
  </x:cols>
  <x:sheetData>
    <x:row r="1" ht="36" customHeight="1">
      <x:c r="A1" s="52" t="s">
        <x:v>0</x:v>
      </x:c>
      <x:c r="B1" s="52"/>
      <x:c r="C1" s="52"/>
      <x:c r="D1" s="52"/>
      <x:c r="E1" s="52"/>
      <x:c r="F1" s="52"/>
      <x:c r="G1" s="52"/>
      <x:c r="H1" s="52"/>
    </x:row>
    <x:row r="2" ht="38" customHeight="1">
      <x:c r="A2" s="53" t="s">
        <x:v>1</x:v>
      </x:c>
      <x:c r="B2" s="53"/>
      <x:c r="C2" s="53"/>
      <x:c r="D2" s="53"/>
      <x:c r="E2" s="53"/>
      <x:c r="F2" s="53"/>
      <x:c r="G2" s="53"/>
      <x:c r="H2" s="53"/>
    </x:row>
    <x:row r="4">
      <x:c r="A4" s="54" t="s">
        <x:v>2</x:v>
      </x:c>
      <x:c r="B4" s="54"/>
      <x:c r="C4" s="54" t="s">
        <x:v>3</x:v>
      </x:c>
      <x:c r="D4" s="54"/>
      <x:c r="E4" s="54" t="s">
        <x:v>4</x:v>
      </x:c>
      <x:c r="F4" s="54"/>
      <x:c r="G4" s="54" t="s">
        <x:v>5</x:v>
      </x:c>
      <x:c r="H4" s="54"/>
    </x:row>
    <x:row r="5">
      <x:c r="A5" s="45" t="n">
        <x:f>COUNTA(Data!$A$5:$A$105)</x:f>
        <x:v>101</x:v>
      </x:c>
      <x:c r="B5" s="46"/>
      <x:c r="C5" s="45" t="n">
        <x:f>COUNTIF(Data!$A$5:$A$105,"yoga")</x:f>
        <x:v>70</x:v>
      </x:c>
      <x:c r="D5" s="46"/>
      <x:c r="E5" s="45" t="n">
        <x:f>COUNTIF(Data!$A$5:$A$105,"mood")</x:f>
        <x:v>31</x:v>
      </x:c>
      <x:c r="F5" s="46"/>
      <x:c r="G5" s="45" t="n">
        <x:f>COUNTIF(Data!$K$5:$K$105,"нет сигнала")</x:f>
        <x:v>9</x:v>
      </x:c>
      <x:c r="H5" s="46"/>
    </x:row>
    <x:row r="6">
      <x:c r="A6" s="47"/>
      <x:c r="B6" s="48"/>
      <x:c r="C6" s="47"/>
      <x:c r="D6" s="48"/>
      <x:c r="E6" s="47"/>
      <x:c r="F6" s="48"/>
      <x:c r="G6" s="47"/>
      <x:c r="H6" s="48"/>
    </x:row>
    <x:row r="9" ht="30" customHeight="1">
      <x:c r="A9" s="1" t="s">
        <x:v>6</x:v>
      </x:c>
      <x:c r="B9" s="2" t="s">
        <x:v>7</x:v>
      </x:c>
      <x:c r="C9" s="2" t="s">
        <x:v>8</x:v>
      </x:c>
      <x:c r="D9" s="3" t="s">
        <x:v>9</x:v>
      </x:c>
      <x:c r="F9" s="49" t="s">
        <x:v>10</x:v>
      </x:c>
      <x:c r="G9" s="50"/>
      <x:c r="H9" s="51"/>
    </x:row>
    <x:row r="10">
      <x:c r="A10" s="4" t="s">
        <x:v>11</x:v>
      </x:c>
      <x:c r="B10" s="4" t="n">
        <x:f>SUM(Matrix!$C$2:$C$102)</x:f>
        <x:v>26</x:v>
      </x:c>
      <x:c r="C10" s="13" t="n">
        <x:f t="shared" ref="C10:C19" si="0">B10/$A$5</x:f>
        <x:v>0.25742574257425743</x:v>
      </x:c>
      <x:c r="D10" s="4" t="s">
        <x:v>12</x:v>
      </x:c>
      <x:c r="F10" s="36" t="s">
        <x:v>13</x:v>
      </x:c>
      <x:c r="G10" s="37"/>
      <x:c r="H10" s="38"/>
    </x:row>
    <x:row r="11">
      <x:c r="A11" s="5" t="s">
        <x:v>14</x:v>
      </x:c>
      <x:c r="B11" s="5" t="n">
        <x:f>SUM(Matrix!$D$2:$D$102)</x:f>
        <x:v>25</x:v>
      </x:c>
      <x:c r="C11" s="14">
        <x:f t="shared" si="0"/>
        <x:v>0.24752475247524752</x:v>
      </x:c>
      <x:c r="D11" s="5" t="s">
        <x:v>12</x:v>
      </x:c>
      <x:c r="F11" s="39"/>
      <x:c r="G11" s="40"/>
      <x:c r="H11" s="41"/>
    </x:row>
    <x:row r="12">
      <x:c r="A12" s="5" t="s">
        <x:v>15</x:v>
      </x:c>
      <x:c r="B12" s="5" t="n">
        <x:f>SUM(Matrix!$E$2:$E$102)</x:f>
        <x:v>24</x:v>
      </x:c>
      <x:c r="C12" s="14">
        <x:f t="shared" si="0"/>
        <x:v>0.23762376237623761</x:v>
      </x:c>
      <x:c r="D12" s="5" t="s">
        <x:v>12</x:v>
      </x:c>
      <x:c r="F12" s="39"/>
      <x:c r="G12" s="40"/>
      <x:c r="H12" s="41"/>
    </x:row>
    <x:row r="13">
      <x:c r="A13" s="5" t="s">
        <x:v>16</x:v>
      </x:c>
      <x:c r="B13" s="5" t="n">
        <x:f>SUM(Matrix!$F$2:$F$102)</x:f>
        <x:v>20</x:v>
      </x:c>
      <x:c r="C13" s="14">
        <x:f t="shared" si="0"/>
        <x:v>0.19801980198019803</x:v>
      </x:c>
      <x:c r="D13" s="5" t="s">
        <x:v>12</x:v>
      </x:c>
      <x:c r="F13" s="39"/>
      <x:c r="G13" s="40"/>
      <x:c r="H13" s="41"/>
    </x:row>
    <x:row r="14">
      <x:c r="A14" s="5" t="s">
        <x:v>17</x:v>
      </x:c>
      <x:c r="B14" s="5" t="n">
        <x:f>SUM(Matrix!$G$2:$G$102)</x:f>
        <x:v>19</x:v>
      </x:c>
      <x:c r="C14" s="14">
        <x:f t="shared" si="0"/>
        <x:v>0.18811881188118812</x:v>
      </x:c>
      <x:c r="D14" s="5" t="s">
        <x:v>12</x:v>
      </x:c>
      <x:c r="F14" s="39"/>
      <x:c r="G14" s="40"/>
      <x:c r="H14" s="41"/>
    </x:row>
    <x:row r="15">
      <x:c r="A15" s="5" t="s">
        <x:v>18</x:v>
      </x:c>
      <x:c r="B15" s="5" t="n">
        <x:f>SUM(Matrix!$H$2:$H$102)</x:f>
        <x:v>18</x:v>
      </x:c>
      <x:c r="C15" s="14">
        <x:f t="shared" si="0"/>
        <x:v>0.17821782178217821</x:v>
      </x:c>
      <x:c r="D15" s="5" t="s">
        <x:v>19</x:v>
      </x:c>
      <x:c r="F15" s="39"/>
      <x:c r="G15" s="40"/>
      <x:c r="H15" s="41"/>
    </x:row>
    <x:row r="16">
      <x:c r="A16" s="5" t="s">
        <x:v>20</x:v>
      </x:c>
      <x:c r="B16" s="5" t="n">
        <x:f>SUM(Matrix!$I$2:$I$102)</x:f>
        <x:v>16</x:v>
      </x:c>
      <x:c r="C16" s="14">
        <x:f t="shared" si="0"/>
        <x:v>0.15841584158415842</x:v>
      </x:c>
      <x:c r="D16" s="5" t="s">
        <x:v>19</x:v>
      </x:c>
      <x:c r="F16" s="39"/>
      <x:c r="G16" s="40"/>
      <x:c r="H16" s="41"/>
    </x:row>
    <x:row r="17">
      <x:c r="A17" s="5" t="s">
        <x:v>21</x:v>
      </x:c>
      <x:c r="B17" s="5" t="n">
        <x:f>SUM(Matrix!$J$2:$J$102)</x:f>
        <x:v>14</x:v>
      </x:c>
      <x:c r="C17" s="14">
        <x:f t="shared" si="0"/>
        <x:v>0.13861386138613863</x:v>
      </x:c>
      <x:c r="D17" s="5" t="s">
        <x:v>19</x:v>
      </x:c>
      <x:c r="F17" s="39"/>
      <x:c r="G17" s="40"/>
      <x:c r="H17" s="41"/>
    </x:row>
    <x:row r="18">
      <x:c r="A18" s="5" t="s">
        <x:v>22</x:v>
      </x:c>
      <x:c r="B18" s="5" t="n">
        <x:f>SUM(Matrix!$K$2:$K$102)</x:f>
        <x:v>12</x:v>
      </x:c>
      <x:c r="C18" s="14">
        <x:f t="shared" si="0"/>
        <x:v>0.11881188118811881</x:v>
      </x:c>
      <x:c r="D18" s="5" t="s">
        <x:v>19</x:v>
      </x:c>
      <x:c r="F18" s="42"/>
      <x:c r="G18" s="43"/>
      <x:c r="H18" s="44"/>
    </x:row>
    <x:row r="19">
      <x:c r="A19" s="6" t="s">
        <x:v>23</x:v>
      </x:c>
      <x:c r="B19" s="6" t="n">
        <x:f>SUM(Matrix!$L$2:$L$102)</x:f>
        <x:v>8</x:v>
      </x:c>
      <x:c r="C19" s="15">
        <x:f t="shared" si="0"/>
        <x:v>7.9207920792079209E-2</x:v>
      </x:c>
      <x:c r="D19" s="6" t="s">
        <x:v>19</x:v>
      </x:c>
    </x:row>
  </x:sheetData>
  <x:mergeCells>
    <x:mergeCell ref="A1:H1"/>
    <x:mergeCell ref="A2:H2"/>
    <x:mergeCell ref="A4:B4"/>
    <x:mergeCell ref="C4:D4"/>
    <x:mergeCell ref="E4:F4"/>
    <x:mergeCell ref="G4:H4"/>
    <x:mergeCell ref="F10:H18"/>
    <x:mergeCell ref="A5:B6"/>
    <x:mergeCell ref="C5:D6"/>
    <x:mergeCell ref="E5:F6"/>
    <x:mergeCell ref="G5:H6"/>
    <x:mergeCell ref="F9:H9"/>
  </x:mergeCells>
  <x:conditionalFormatting sqref="B10:B19">
    <x:cfRule type="dataBar" priority="1">
      <x:dataBar>
        <x:cfvo type="min"/>
        <x:cfvo type="max"/>
        <x:color rgb="FFC97C4D"/>
      </x:dataBar>
    </x:cfRule>
    <x:cfRule type="dataBar" priority="2">
      <x:dataBar>
        <x:cfvo type="min"/>
        <x:cfvo type="max"/>
        <x:color rgb="FFC97C4D"/>
      </x:dataBar>
    </x:cfRule>
    <x:cfRule type="dataBar" priority="3">
      <x:dataBar>
        <x:cfvo type="min"/>
        <x:cfvo type="max"/>
        <x:color rgb="FFC97C4D"/>
      </x:dataBar>
      <x:extLst>
        <x:ext xmlns:x14="http://schemas.microsoft.com/office/spreadsheetml/2009/9/main" uri="{B025F937-C7B1-47D3-B67F-A62EFF666E3E}">
          <x14:id>{0CC8FFFF-0E58-4088-C54E-B016E405B214}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0CC8FFFF-0E58-4088-C54E-B016E405B214}">
            <x14:dataBar>
              <x14:cfvo type="min"/>
              <x14:cfvo type="max"/>
              <x14:fillColor rgb="FFC97C4D"/>
              <x14:negativeFillColor auto="1"/>
              <x14:axisColor auto="1"/>
            </x14:dataBar>
          </x14:cfRule>
          <xm:sqref>B10:B19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7" customWidth="1"/>
    <x:col min="3" max="3" width="40" customWidth="1"/>
    <x:col min="4" max="4" width="8" customWidth="1"/>
    <x:col min="5" max="5" width="14" customWidth="1"/>
    <x:col min="6" max="6" width="48" customWidth="1"/>
    <x:col min="7" max="7" width="36" style="22" customWidth="1"/>
    <x:col min="8" max="8" width="42" customWidth="1"/>
    <x:col min="9" max="9" width="18" customWidth="1"/>
    <x:col min="10" max="10" width="34" customWidth="1"/>
    <x:col min="11" max="11" width="18" customWidth="1"/>
    <x:col min="12" max="12" width="24" customWidth="1"/>
    <x:col min="13" max="13" width="34" customWidth="1"/>
  </x:cols>
  <x:sheetData>
    <x:row r="1" ht="36" customHeight="1">
      <x:c r="A1" s="52" t="s">
        <x:v>24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42" customHeight="1">
      <x:c r="A2" s="53" t="s">
        <x:v>25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</x:row>
    <x:row r="4">
      <x:c r="A4" s="54" t="s">
        <x:v>2</x:v>
      </x:c>
      <x:c r="B4" s="54"/>
      <x:c r="C4" s="54"/>
      <x:c r="D4" s="54" t="s">
        <x:v>26</x:v>
      </x:c>
      <x:c r="E4" s="54"/>
      <x:c r="F4" s="54"/>
      <x:c r="G4" s="54" t="s">
        <x:v>27</x:v>
      </x:c>
      <x:c r="H4" s="54"/>
      <x:c r="I4" s="54"/>
      <x:c r="J4" s="54" t="s">
        <x:v>28</x:v>
      </x:c>
      <x:c r="K4" s="54"/>
      <x:c r="L4" s="54"/>
      <x:c r="M4" s="54"/>
    </x:row>
    <x:row r="5">
      <x:c r="A5" s="45" t="n">
        <x:f>COUNTA($A$9:$A$109)</x:f>
        <x:v>101</x:v>
      </x:c>
      <x:c r="B5" s="55"/>
      <x:c r="C5" s="46"/>
      <x:c r="D5" s="45" t="n">
        <x:f>A5-G5</x:f>
        <x:v>87</x:v>
      </x:c>
      <x:c r="E5" s="55"/>
      <x:c r="F5" s="46"/>
      <x:c r="G5" s="45" t="n">
        <x:f>COUNTBLANK($G$9:$G$109)</x:f>
        <x:v>14</x:v>
      </x:c>
      <x:c r="H5" s="55"/>
      <x:c r="I5" s="46"/>
      <x:c r="J5" s="45" t="n">
        <x:f>COUNTIF($K$9:$K$109,"не проверено")</x:f>
        <x:v>1</x:v>
      </x:c>
      <x:c r="K5" s="55"/>
      <x:c r="L5" s="55"/>
      <x:c r="M5" s="46"/>
    </x:row>
    <x:row r="6">
      <x:c r="A6" s="47"/>
      <x:c r="B6" s="56"/>
      <x:c r="C6" s="48"/>
      <x:c r="D6" s="47"/>
      <x:c r="E6" s="56"/>
      <x:c r="F6" s="48"/>
      <x:c r="G6" s="47"/>
      <x:c r="H6" s="56"/>
      <x:c r="I6" s="48"/>
      <x:c r="J6" s="47"/>
      <x:c r="K6" s="56"/>
      <x:c r="L6" s="56"/>
      <x:c r="M6" s="48"/>
    </x:row>
    <x:row r="8" ht="30" customHeight="1">
      <x:c r="A8" s="1" t="s">
        <x:v>29</x:v>
      </x:c>
      <x:c r="B8" s="2" t="s">
        <x:v>30</x:v>
      </x:c>
      <x:c r="C8" s="2" t="s">
        <x:v>31</x:v>
      </x:c>
      <x:c r="D8" s="2" t="s">
        <x:v>32</x:v>
      </x:c>
      <x:c r="E8" s="2" t="s">
        <x:v>33</x:v>
      </x:c>
      <x:c r="F8" s="2" t="s">
        <x:v>34</x:v>
      </x:c>
      <x:c r="G8" s="18" t="s">
        <x:v>35</x:v>
      </x:c>
      <x:c r="H8" s="2" t="s">
        <x:v>36</x:v>
      </x:c>
      <x:c r="I8" s="2" t="s">
        <x:v>37</x:v>
      </x:c>
      <x:c r="J8" s="2" t="s">
        <x:v>38</x:v>
      </x:c>
      <x:c r="K8" s="2" t="s">
        <x:v>39</x:v>
      </x:c>
      <x:c r="L8" s="2" t="s">
        <x:v>40</x:v>
      </x:c>
      <x:c r="M8" s="3" t="s">
        <x:v>9</x:v>
      </x:c>
    </x:row>
    <x:row r="9" ht="56">
      <x:c r="A9" s="4" t="s">
        <x:v>41</x:v>
      </x:c>
      <x:c r="B9" s="4">
        <x:v>1</x:v>
      </x:c>
      <x:c r="C9" s="7" t="s">
        <x:v>42</x:v>
      </x:c>
      <x:c r="D9" s="7">
        <x:v>57</x:v>
      </x:c>
      <x:c r="E9" s="7" t="s">
        <x:v>43</x:v>
      </x:c>
      <x:c r="F9" s="7" t="s">
        <x:v>44</x:v>
      </x:c>
      <x:c r="G9" s="19" t="s">
        <x:v>45</x:v>
      </x:c>
      <x:c r="H9" s="7" t="s">
        <x:v>46</x:v>
      </x:c>
      <x:c r="I9" s="7" t="s">
        <x:v>47</x:v>
      </x:c>
      <x:c r="J9" s="4" t="s">
        <x:v>48</x:v>
      </x:c>
      <x:c r="K9" s="24" t="s">
        <x:v>49</x:v>
      </x:c>
      <x:c r="L9" s="7" t="s">
        <x:v>50</x:v>
      </x:c>
      <x:c r="M9" s="4" t="s">
        <x:v>51</x:v>
      </x:c>
    </x:row>
    <x:row r="10" ht="56">
      <x:c r="A10" s="5" t="s">
        <x:v>41</x:v>
      </x:c>
      <x:c r="B10" s="5">
        <x:v>2</x:v>
      </x:c>
      <x:c r="C10" s="8" t="s">
        <x:v>52</x:v>
      </x:c>
      <x:c r="D10" s="8">
        <x:v>18</x:v>
      </x:c>
      <x:c r="E10" s="8" t="s">
        <x:v>53</x:v>
      </x:c>
      <x:c r="F10" s="8" t="s">
        <x:v>54</x:v>
      </x:c>
      <x:c r="G10" s="20" t="s">
        <x:v>55</x:v>
      </x:c>
      <x:c r="H10" s="8" t="s">
        <x:v>56</x:v>
      </x:c>
      <x:c r="I10" s="8" t="s">
        <x:v>57</x:v>
      </x:c>
      <x:c r="J10" s="5" t="s">
        <x:v>58</x:v>
      </x:c>
      <x:c r="K10" s="25" t="s">
        <x:v>59</x:v>
      </x:c>
      <x:c r="L10" s="5"/>
      <x:c r="M10" s="5"/>
    </x:row>
    <x:row r="11" ht="28">
      <x:c r="A11" s="5" t="s">
        <x:v>41</x:v>
      </x:c>
      <x:c r="B11" s="5">
        <x:v>3</x:v>
      </x:c>
      <x:c r="C11" s="8" t="s">
        <x:v>60</x:v>
      </x:c>
      <x:c r="D11" s="8">
        <x:v>58</x:v>
      </x:c>
      <x:c r="E11" s="8" t="s">
        <x:v>43</x:v>
      </x:c>
      <x:c r="F11" s="8" t="s">
        <x:v>61</x:v>
      </x:c>
      <x:c r="G11" s="20" t="s">
        <x:v>62</x:v>
      </x:c>
      <x:c r="H11" s="8" t="s">
        <x:v>63</x:v>
      </x:c>
      <x:c r="I11" s="8" t="s">
        <x:v>47</x:v>
      </x:c>
      <x:c r="J11" s="5" t="s">
        <x:v>64</x:v>
      </x:c>
      <x:c r="K11" s="25" t="s">
        <x:v>49</x:v>
      </x:c>
      <x:c r="L11" s="7" t="s">
        <x:v>65</x:v>
      </x:c>
      <x:c r="M11" s="4" t="s">
        <x:v>66</x:v>
      </x:c>
    </x:row>
    <x:row r="12" ht="42">
      <x:c r="A12" s="5" t="s">
        <x:v>41</x:v>
      </x:c>
      <x:c r="B12" s="5">
        <x:v>4</x:v>
      </x:c>
      <x:c r="C12" s="8" t="s">
        <x:v>67</x:v>
      </x:c>
      <x:c r="D12" s="8">
        <x:v>5</x:v>
      </x:c>
      <x:c r="E12" s="8" t="s">
        <x:v>53</x:v>
      </x:c>
      <x:c r="F12" s="8" t="s">
        <x:v>68</x:v>
      </x:c>
      <x:c r="G12" s="20" t="s">
        <x:v>17</x:v>
      </x:c>
      <x:c r="H12" s="8" t="s">
        <x:v>69</x:v>
      </x:c>
      <x:c r="I12" s="8" t="s">
        <x:v>47</x:v>
      </x:c>
      <x:c r="J12" s="5" t="s">
        <x:v>70</x:v>
      </x:c>
      <x:c r="K12" s="25" t="s">
        <x:v>59</x:v>
      </x:c>
      <x:c r="L12" s="5"/>
      <x:c r="M12" s="5"/>
    </x:row>
    <x:row r="13">
      <x:c r="A13" s="5" t="s">
        <x:v>41</x:v>
      </x:c>
      <x:c r="B13" s="5">
        <x:v>5</x:v>
      </x:c>
      <x:c r="C13" s="8" t="s">
        <x:v>71</x:v>
      </x:c>
      <x:c r="D13" s="8">
        <x:v>38</x:v>
      </x:c>
      <x:c r="E13" s="8" t="s">
        <x:v>72</x:v>
      </x:c>
      <x:c r="F13" s="8" t="s">
        <x:v>73</x:v>
      </x:c>
      <x:c r="G13" s="20"/>
      <x:c r="H13" s="8"/>
      <x:c r="I13" s="8" t="s">
        <x:v>74</x:v>
      </x:c>
      <x:c r="J13" s="5" t="s">
        <x:v>75</x:v>
      </x:c>
      <x:c r="K13" s="25" t="s">
        <x:v>76</x:v>
      </x:c>
      <x:c r="L13" s="5" t="s">
        <x:v>77</x:v>
      </x:c>
      <x:c r="M13" s="5"/>
    </x:row>
    <x:row r="14" ht="28">
      <x:c r="A14" s="5" t="s">
        <x:v>41</x:v>
      </x:c>
      <x:c r="B14" s="5">
        <x:v>6</x:v>
      </x:c>
      <x:c r="C14" s="8" t="s">
        <x:v>78</x:v>
      </x:c>
      <x:c r="D14" s="8">
        <x:v>44</x:v>
      </x:c>
      <x:c r="E14" s="8" t="s">
        <x:v>72</x:v>
      </x:c>
      <x:c r="F14" s="8" t="s">
        <x:v>79</x:v>
      </x:c>
      <x:c r="G14" s="20"/>
      <x:c r="H14" s="8"/>
      <x:c r="I14" s="8" t="s">
        <x:v>74</x:v>
      </x:c>
      <x:c r="J14" s="5" t="s">
        <x:v>80</x:v>
      </x:c>
      <x:c r="K14" s="25" t="s">
        <x:v>76</x:v>
      </x:c>
      <x:c r="L14" s="5" t="s">
        <x:v>77</x:v>
      </x:c>
      <x:c r="M14" s="5"/>
    </x:row>
    <x:row r="15" ht="56">
      <x:c r="A15" s="5" t="s">
        <x:v>41</x:v>
      </x:c>
      <x:c r="B15" s="5">
        <x:v>7</x:v>
      </x:c>
      <x:c r="C15" s="8" t="s">
        <x:v>81</x:v>
      </x:c>
      <x:c r="D15" s="8">
        <x:v>36</x:v>
      </x:c>
      <x:c r="E15" s="8" t="s">
        <x:v>43</x:v>
      </x:c>
      <x:c r="F15" s="8" t="s">
        <x:v>82</x:v>
      </x:c>
      <x:c r="G15" s="20" t="s">
        <x:v>83</x:v>
      </x:c>
      <x:c r="H15" s="8" t="s">
        <x:v>84</x:v>
      </x:c>
      <x:c r="I15" s="8" t="s">
        <x:v>85</x:v>
      </x:c>
      <x:c r="J15" s="5" t="s">
        <x:v>86</x:v>
      </x:c>
      <x:c r="K15" s="25" t="s">
        <x:v>76</x:v>
      </x:c>
      <x:c r="L15" s="20" t="s">
        <x:v>87</x:v>
      </x:c>
      <x:c r="M15" s="5"/>
    </x:row>
    <x:row r="16" ht="42">
      <x:c r="A16" s="5" t="s">
        <x:v>41</x:v>
      </x:c>
      <x:c r="B16" s="5">
        <x:v>8</x:v>
      </x:c>
      <x:c r="C16" s="8" t="s">
        <x:v>88</x:v>
      </x:c>
      <x:c r="D16" s="8">
        <x:v>50</x:v>
      </x:c>
      <x:c r="E16" s="8" t="s">
        <x:v>89</x:v>
      </x:c>
      <x:c r="F16" s="8" t="s">
        <x:v>90</x:v>
      </x:c>
      <x:c r="G16" s="20"/>
      <x:c r="H16" s="8"/>
      <x:c r="I16" s="8" t="s">
        <x:v>74</x:v>
      </x:c>
      <x:c r="J16" s="5" t="s">
        <x:v>91</x:v>
      </x:c>
      <x:c r="K16" s="25" t="s">
        <x:v>49</x:v>
      </x:c>
      <x:c r="L16" s="5" t="s">
        <x:v>92</x:v>
      </x:c>
      <x:c r="M16" s="5" t="s">
        <x:v>93</x:v>
      </x:c>
    </x:row>
    <x:row r="17" ht="70">
      <x:c r="A17" s="5" t="s">
        <x:v>41</x:v>
      </x:c>
      <x:c r="B17" s="5">
        <x:v>9</x:v>
      </x:c>
      <x:c r="C17" s="8" t="s">
        <x:v>94</x:v>
      </x:c>
      <x:c r="D17" s="8">
        <x:v>29</x:v>
      </x:c>
      <x:c r="E17" s="8" t="s">
        <x:v>53</x:v>
      </x:c>
      <x:c r="F17" s="8" t="s">
        <x:v>95</x:v>
      </x:c>
      <x:c r="G17" s="20" t="s">
        <x:v>55</x:v>
      </x:c>
      <x:c r="H17" s="8" t="s">
        <x:v>96</x:v>
      </x:c>
      <x:c r="I17" s="8" t="s">
        <x:v>47</x:v>
      </x:c>
      <x:c r="J17" s="5" t="s">
        <x:v>97</x:v>
      </x:c>
      <x:c r="K17" s="26" t="s">
        <x:v>76</x:v>
      </x:c>
      <x:c r="L17" s="20" t="s">
        <x:v>98</x:v>
      </x:c>
      <x:c r="M17" s="5"/>
    </x:row>
    <x:row r="18" ht="28">
      <x:c r="A18" s="5" t="s">
        <x:v>41</x:v>
      </x:c>
      <x:c r="B18" s="5">
        <x:v>10</x:v>
      </x:c>
      <x:c r="C18" s="8" t="s">
        <x:v>99</x:v>
      </x:c>
      <x:c r="D18" s="8">
        <x:v>40</x:v>
      </x:c>
      <x:c r="E18" s="8" t="s">
        <x:v>89</x:v>
      </x:c>
      <x:c r="F18" s="8" t="s">
        <x:v>100</x:v>
      </x:c>
      <x:c r="G18" s="20" t="s">
        <x:v>55</x:v>
      </x:c>
      <x:c r="H18" s="8" t="s">
        <x:v>56</x:v>
      </x:c>
      <x:c r="I18" s="8" t="s">
        <x:v>47</x:v>
      </x:c>
      <x:c r="J18" s="5" t="s">
        <x:v>101</x:v>
      </x:c>
      <x:c r="K18" s="25" t="s">
        <x:v>76</x:v>
      </x:c>
      <x:c r="L18" s="20" t="s">
        <x:v>102</x:v>
      </x:c>
      <x:c r="M18" s="5"/>
    </x:row>
    <x:row r="19" ht="84">
      <x:c r="A19" s="5" t="s">
        <x:v>41</x:v>
      </x:c>
      <x:c r="B19" s="5">
        <x:v>11</x:v>
      </x:c>
      <x:c r="C19" s="8" t="s">
        <x:v>103</x:v>
      </x:c>
      <x:c r="D19" s="8">
        <x:v>29</x:v>
      </x:c>
      <x:c r="E19" s="8" t="s">
        <x:v>104</x:v>
      </x:c>
      <x:c r="F19" s="8" t="s">
        <x:v>105</x:v>
      </x:c>
      <x:c r="G19" s="20" t="s">
        <x:v>106</x:v>
      </x:c>
      <x:c r="H19" s="8" t="s">
        <x:v>107</x:v>
      </x:c>
      <x:c r="I19" s="8" t="s">
        <x:v>85</x:v>
      </x:c>
      <x:c r="J19" s="5" t="s">
        <x:v>108</x:v>
      </x:c>
      <x:c r="K19" s="25" t="s">
        <x:v>76</x:v>
      </x:c>
      <x:c r="L19" s="20" t="s">
        <x:v>109</x:v>
      </x:c>
      <x:c r="M19" s="5"/>
    </x:row>
    <x:row r="20" ht="70">
      <x:c r="A20" s="5" t="s">
        <x:v>41</x:v>
      </x:c>
      <x:c r="B20" s="5">
        <x:v>12</x:v>
      </x:c>
      <x:c r="C20" s="8" t="s">
        <x:v>110</x:v>
      </x:c>
      <x:c r="D20" s="8">
        <x:v>88</x:v>
      </x:c>
      <x:c r="E20" s="8" t="s">
        <x:v>43</x:v>
      </x:c>
      <x:c r="F20" s="8" t="s">
        <x:v>111</x:v>
      </x:c>
      <x:c r="G20" s="20" t="s">
        <x:v>112</x:v>
      </x:c>
      <x:c r="H20" s="8" t="s">
        <x:v>113</x:v>
      </x:c>
      <x:c r="I20" s="8" t="s">
        <x:v>47</x:v>
      </x:c>
      <x:c r="J20" s="5" t="s">
        <x:v>114</x:v>
      </x:c>
      <x:c r="K20" s="25" t="s">
        <x:v>59</x:v>
      </x:c>
      <x:c r="L20" s="5"/>
      <x:c r="M20" s="5"/>
    </x:row>
    <x:row r="21" ht="98">
      <x:c r="A21" s="5" t="s">
        <x:v>41</x:v>
      </x:c>
      <x:c r="B21" s="5">
        <x:v>13</x:v>
      </x:c>
      <x:c r="C21" s="8" t="s">
        <x:v>115</x:v>
      </x:c>
      <x:c r="D21" s="8">
        <x:v>56</x:v>
      </x:c>
      <x:c r="E21" s="8" t="s">
        <x:v>43</x:v>
      </x:c>
      <x:c r="F21" s="8" t="s">
        <x:v>116</x:v>
      </x:c>
      <x:c r="G21" s="20" t="s">
        <x:v>117</x:v>
      </x:c>
      <x:c r="H21" s="8" t="s">
        <x:v>118</x:v>
      </x:c>
      <x:c r="I21" s="8" t="s">
        <x:v>57</x:v>
      </x:c>
      <x:c r="J21" s="5" t="s">
        <x:v>119</x:v>
      </x:c>
      <x:c r="K21" s="25" t="s">
        <x:v>76</x:v>
      </x:c>
      <x:c r="L21" s="20" t="s">
        <x:v>120</x:v>
      </x:c>
      <x:c r="M21" s="5"/>
    </x:row>
    <x:row r="22" ht="28">
      <x:c r="A22" s="5" t="s">
        <x:v>41</x:v>
      </x:c>
      <x:c r="B22" s="5">
        <x:v>14</x:v>
      </x:c>
      <x:c r="C22" s="8" t="s">
        <x:v>121</x:v>
      </x:c>
      <x:c r="D22" s="8">
        <x:v>64</x:v>
      </x:c>
      <x:c r="E22" s="8" t="s">
        <x:v>43</x:v>
      </x:c>
      <x:c r="F22" s="8" t="s">
        <x:v>121</x:v>
      </x:c>
      <x:c r="G22" s="20" t="s">
        <x:v>62</x:v>
      </x:c>
      <x:c r="H22" s="8" t="s">
        <x:v>122</x:v>
      </x:c>
      <x:c r="I22" s="8" t="s">
        <x:v>47</x:v>
      </x:c>
      <x:c r="J22" s="5" t="s">
        <x:v>123</x:v>
      </x:c>
      <x:c r="K22" s="25" t="s">
        <x:v>49</x:v>
      </x:c>
      <x:c r="L22" s="20" t="s">
        <x:v>124</x:v>
      </x:c>
      <x:c r="M22" s="5" t="s">
        <x:v>125</x:v>
      </x:c>
    </x:row>
    <x:row r="23" ht="28">
      <x:c r="A23" s="5" t="s">
        <x:v>41</x:v>
      </x:c>
      <x:c r="B23" s="5">
        <x:v>15</x:v>
      </x:c>
      <x:c r="C23" s="8" t="s">
        <x:v>126</x:v>
      </x:c>
      <x:c r="D23" s="8">
        <x:v>30</x:v>
      </x:c>
      <x:c r="E23" s="8" t="s">
        <x:v>104</x:v>
      </x:c>
      <x:c r="F23" s="8" t="s">
        <x:v>127</x:v>
      </x:c>
      <x:c r="G23" s="20" t="s">
        <x:v>62</x:v>
      </x:c>
      <x:c r="H23" s="8" t="s">
        <x:v>128</x:v>
      </x:c>
      <x:c r="I23" s="8" t="s">
        <x:v>47</x:v>
      </x:c>
      <x:c r="J23" s="5" t="s">
        <x:v>129</x:v>
      </x:c>
      <x:c r="K23" s="25" t="s">
        <x:v>49</x:v>
      </x:c>
      <x:c r="L23" s="20" t="s">
        <x:v>130</x:v>
      </x:c>
      <x:c r="M23" s="5" t="s">
        <x:v>131</x:v>
      </x:c>
    </x:row>
    <x:row r="24" ht="28">
      <x:c r="A24" s="5" t="s">
        <x:v>41</x:v>
      </x:c>
      <x:c r="B24" s="5">
        <x:v>16</x:v>
      </x:c>
      <x:c r="C24" s="8" t="s">
        <x:v>132</x:v>
      </x:c>
      <x:c r="D24" s="8">
        <x:v>28</x:v>
      </x:c>
      <x:c r="E24" s="8" t="s">
        <x:v>104</x:v>
      </x:c>
      <x:c r="F24" s="8"/>
      <x:c r="G24" s="20"/>
      <x:c r="H24" s="8"/>
      <x:c r="I24" s="8" t="s">
        <x:v>74</x:v>
      </x:c>
      <x:c r="J24" s="5" t="s">
        <x:v>133</x:v>
      </x:c>
      <x:c r="K24" s="25" t="s">
        <x:v>49</x:v>
      </x:c>
      <x:c r="L24" s="20" t="s">
        <x:v>134</x:v>
      </x:c>
      <x:c r="M24" s="5" t="s">
        <x:v>135</x:v>
      </x:c>
    </x:row>
    <x:row r="25" ht="28">
      <x:c r="A25" s="5" t="s">
        <x:v>41</x:v>
      </x:c>
      <x:c r="B25" s="5">
        <x:v>17</x:v>
      </x:c>
      <x:c r="C25" s="8" t="s">
        <x:v>136</x:v>
      </x:c>
      <x:c r="D25" s="8">
        <x:v>39</x:v>
      </x:c>
      <x:c r="E25" s="8" t="s">
        <x:v>43</x:v>
      </x:c>
      <x:c r="F25" s="8" t="s">
        <x:v>137</x:v>
      </x:c>
      <x:c r="G25" s="20" t="s">
        <x:v>62</x:v>
      </x:c>
      <x:c r="H25" s="8" t="s">
        <x:v>138</x:v>
      </x:c>
      <x:c r="I25" s="8" t="s">
        <x:v>47</x:v>
      </x:c>
      <x:c r="J25" s="5" t="s">
        <x:v>139</x:v>
      </x:c>
      <x:c r="K25" s="25" t="s">
        <x:v>49</x:v>
      </x:c>
      <x:c r="L25" s="20" t="s">
        <x:v>130</x:v>
      </x:c>
      <x:c r="M25" s="5" t="s">
        <x:v>125</x:v>
      </x:c>
    </x:row>
    <x:row r="26" ht="84">
      <x:c r="A26" s="5" t="s">
        <x:v>41</x:v>
      </x:c>
      <x:c r="B26" s="5">
        <x:v>18</x:v>
      </x:c>
      <x:c r="C26" s="8" t="s">
        <x:v>140</x:v>
      </x:c>
      <x:c r="D26" s="8">
        <x:v>30</x:v>
      </x:c>
      <x:c r="E26" s="8" t="s">
        <x:v>72</x:v>
      </x:c>
      <x:c r="F26" s="8" t="s">
        <x:v>141</x:v>
      </x:c>
      <x:c r="G26" s="20" t="s">
        <x:v>142</x:v>
      </x:c>
      <x:c r="H26" s="8" t="s">
        <x:v>143</x:v>
      </x:c>
      <x:c r="I26" s="8" t="s">
        <x:v>144</x:v>
      </x:c>
      <x:c r="J26" s="5" t="s">
        <x:v>145</x:v>
      </x:c>
      <x:c r="K26" s="25" t="s">
        <x:v>49</x:v>
      </x:c>
      <x:c r="L26" s="20" t="s">
        <x:v>146</x:v>
      </x:c>
      <x:c r="M26" s="5" t="s">
        <x:v>125</x:v>
      </x:c>
    </x:row>
    <x:row r="27" ht="28">
      <x:c r="A27" s="5" t="s">
        <x:v>41</x:v>
      </x:c>
      <x:c r="B27" s="5">
        <x:v>19</x:v>
      </x:c>
      <x:c r="C27" s="8" t="s">
        <x:v>147</x:v>
      </x:c>
      <x:c r="D27" s="8">
        <x:v>31</x:v>
      </x:c>
      <x:c r="E27" s="8" t="s">
        <x:v>43</x:v>
      </x:c>
      <x:c r="F27" s="8" t="s">
        <x:v>148</x:v>
      </x:c>
      <x:c r="G27" s="20" t="s">
        <x:v>149</x:v>
      </x:c>
      <x:c r="H27" s="8" t="s">
        <x:v>150</x:v>
      </x:c>
      <x:c r="I27" s="8" t="s">
        <x:v>85</x:v>
      </x:c>
      <x:c r="J27" s="5" t="s">
        <x:v>151</x:v>
      </x:c>
      <x:c r="K27" s="25" t="s">
        <x:v>76</x:v>
      </x:c>
      <x:c r="L27" s="20" t="s">
        <x:v>152</x:v>
      </x:c>
      <x:c r="M27" s="5"/>
    </x:row>
    <x:row r="28" ht="84">
      <x:c r="A28" s="5" t="s">
        <x:v>41</x:v>
      </x:c>
      <x:c r="B28" s="5">
        <x:v>20</x:v>
      </x:c>
      <x:c r="C28" s="8" t="s">
        <x:v>153</x:v>
      </x:c>
      <x:c r="D28" s="8">
        <x:v>44</x:v>
      </x:c>
      <x:c r="E28" s="8" t="s">
        <x:v>89</x:v>
      </x:c>
      <x:c r="F28" s="8" t="s">
        <x:v>154</x:v>
      </x:c>
      <x:c r="G28" s="20" t="s">
        <x:v>55</x:v>
      </x:c>
      <x:c r="H28" s="8" t="s">
        <x:v>56</x:v>
      </x:c>
      <x:c r="I28" s="8" t="s">
        <x:v>47</x:v>
      </x:c>
      <x:c r="J28" s="5" t="s">
        <x:v>155</x:v>
      </x:c>
      <x:c r="K28" s="25" t="s">
        <x:v>76</x:v>
      </x:c>
      <x:c r="L28" s="23" t="s">
        <x:v>77</x:v>
      </x:c>
      <x:c r="M28" s="5"/>
    </x:row>
    <x:row r="29" ht="42">
      <x:c r="A29" s="5" t="s">
        <x:v>41</x:v>
      </x:c>
      <x:c r="B29" s="5">
        <x:v>21</x:v>
      </x:c>
      <x:c r="C29" s="8" t="s">
        <x:v>156</x:v>
      </x:c>
      <x:c r="D29" s="8">
        <x:v>34</x:v>
      </x:c>
      <x:c r="E29" s="8" t="s">
        <x:v>89</x:v>
      </x:c>
      <x:c r="F29" s="8" t="s">
        <x:v>157</x:v>
      </x:c>
      <x:c r="G29" s="20" t="s">
        <x:v>158</x:v>
      </x:c>
      <x:c r="H29" s="8" t="s">
        <x:v>159</x:v>
      </x:c>
      <x:c r="I29" s="8" t="s">
        <x:v>47</x:v>
      </x:c>
      <x:c r="J29" s="5" t="s">
        <x:v>160</x:v>
      </x:c>
      <x:c r="K29" s="25" t="s">
        <x:v>76</x:v>
      </x:c>
      <x:c r="L29" s="20" t="s">
        <x:v>161</x:v>
      </x:c>
      <x:c r="M29" s="5"/>
    </x:row>
    <x:row r="30" ht="42">
      <x:c r="A30" s="5" t="s">
        <x:v>41</x:v>
      </x:c>
      <x:c r="B30" s="5">
        <x:v>22</x:v>
      </x:c>
      <x:c r="C30" s="8" t="s">
        <x:v>162</x:v>
      </x:c>
      <x:c r="D30" s="8">
        <x:v>30</x:v>
      </x:c>
      <x:c r="E30" s="8" t="s">
        <x:v>72</x:v>
      </x:c>
      <x:c r="F30" s="8" t="s">
        <x:v>163</x:v>
      </x:c>
      <x:c r="G30" s="20" t="s">
        <x:v>164</x:v>
      </x:c>
      <x:c r="H30" s="8" t="s">
        <x:v>165</x:v>
      </x:c>
      <x:c r="I30" s="8" t="s">
        <x:v>47</x:v>
      </x:c>
      <x:c r="J30" s="5" t="s">
        <x:v>166</x:v>
      </x:c>
      <x:c r="K30" s="25" t="s">
        <x:v>59</x:v>
      </x:c>
      <x:c r="L30" s="5"/>
      <x:c r="M30" s="5"/>
    </x:row>
    <x:row r="31" ht="70">
      <x:c r="A31" s="5" t="s">
        <x:v>41</x:v>
      </x:c>
      <x:c r="B31" s="5">
        <x:v>23</x:v>
      </x:c>
      <x:c r="C31" s="8" t="s">
        <x:v>167</x:v>
      </x:c>
      <x:c r="D31" s="8">
        <x:v>31</x:v>
      </x:c>
      <x:c r="E31" s="8" t="s">
        <x:v>104</x:v>
      </x:c>
      <x:c r="F31" s="8" t="s">
        <x:v>168</x:v>
      </x:c>
      <x:c r="G31" s="20" t="s">
        <x:v>106</x:v>
      </x:c>
      <x:c r="H31" s="8" t="s">
        <x:v>169</x:v>
      </x:c>
      <x:c r="I31" s="8" t="s">
        <x:v>85</x:v>
      </x:c>
      <x:c r="J31" s="5" t="s">
        <x:v>170</x:v>
      </x:c>
      <x:c r="K31" s="25" t="s">
        <x:v>76</x:v>
      </x:c>
      <x:c r="L31" s="20" t="s">
        <x:v>171</x:v>
      </x:c>
      <x:c r="M31" s="5"/>
    </x:row>
    <x:row r="32" ht="56">
      <x:c r="A32" s="5" t="s">
        <x:v>41</x:v>
      </x:c>
      <x:c r="B32" s="5">
        <x:v>24</x:v>
      </x:c>
      <x:c r="C32" s="8" t="s">
        <x:v>172</x:v>
      </x:c>
      <x:c r="D32" s="8">
        <x:v>40</x:v>
      </x:c>
      <x:c r="E32" s="8" t="s">
        <x:v>72</x:v>
      </x:c>
      <x:c r="F32" s="8" t="s">
        <x:v>173</x:v>
      </x:c>
      <x:c r="G32" s="20"/>
      <x:c r="H32" s="8"/>
      <x:c r="I32" s="8" t="s">
        <x:v>74</x:v>
      </x:c>
      <x:c r="J32" s="5" t="s">
        <x:v>174</x:v>
      </x:c>
      <x:c r="K32" s="25" t="s">
        <x:v>76</x:v>
      </x:c>
      <x:c r="L32" s="20" t="s">
        <x:v>175</x:v>
      </x:c>
      <x:c r="M32" s="5"/>
    </x:row>
    <x:row r="33" ht="168">
      <x:c r="A33" s="5" t="s">
        <x:v>41</x:v>
      </x:c>
      <x:c r="B33" s="5">
        <x:v>25</x:v>
      </x:c>
      <x:c r="C33" s="8" t="s">
        <x:v>176</x:v>
      </x:c>
      <x:c r="D33" s="8">
        <x:v>18</x:v>
      </x:c>
      <x:c r="E33" s="8" t="s">
        <x:v>72</x:v>
      </x:c>
      <x:c r="F33" s="8" t="s">
        <x:v>177</x:v>
      </x:c>
      <x:c r="G33" s="20" t="s">
        <x:v>178</x:v>
      </x:c>
      <x:c r="H33" s="8" t="s">
        <x:v>179</x:v>
      </x:c>
      <x:c r="I33" s="8" t="s">
        <x:v>144</x:v>
      </x:c>
      <x:c r="J33" s="5" t="s">
        <x:v>180</x:v>
      </x:c>
      <x:c r="K33" s="25" t="s">
        <x:v>76</x:v>
      </x:c>
      <x:c r="L33" s="20" t="s">
        <x:v>181</x:v>
      </x:c>
      <x:c r="M33" s="5"/>
    </x:row>
    <x:row r="34" ht="70">
      <x:c r="A34" s="5" t="s">
        <x:v>41</x:v>
      </x:c>
      <x:c r="B34" s="5">
        <x:v>26</x:v>
      </x:c>
      <x:c r="C34" s="8" t="s">
        <x:v>182</x:v>
      </x:c>
      <x:c r="D34" s="8">
        <x:v>20</x:v>
      </x:c>
      <x:c r="E34" s="8" t="s">
        <x:v>104</x:v>
      </x:c>
      <x:c r="F34" s="8" t="s">
        <x:v>183</x:v>
      </x:c>
      <x:c r="G34" s="20" t="s">
        <x:v>184</x:v>
      </x:c>
      <x:c r="H34" s="8" t="s">
        <x:v>185</x:v>
      </x:c>
      <x:c r="I34" s="8" t="s">
        <x:v>144</x:v>
      </x:c>
      <x:c r="J34" s="5" t="s">
        <x:v>186</x:v>
      </x:c>
      <x:c r="K34" s="25" t="s">
        <x:v>76</x:v>
      </x:c>
      <x:c r="L34" s="25" t="s">
        <x:v>187</x:v>
      </x:c>
      <x:c r="M34" s="5"/>
    </x:row>
    <x:row r="35" ht="70">
      <x:c r="A35" s="5" t="s">
        <x:v>41</x:v>
      </x:c>
      <x:c r="B35" s="5">
        <x:v>27</x:v>
      </x:c>
      <x:c r="C35" s="8" t="s">
        <x:v>188</x:v>
      </x:c>
      <x:c r="D35" s="8">
        <x:v>17</x:v>
      </x:c>
      <x:c r="E35" s="8" t="s">
        <x:v>72</x:v>
      </x:c>
      <x:c r="F35" s="8" t="s">
        <x:v>189</x:v>
      </x:c>
      <x:c r="G35" s="20"/>
      <x:c r="H35" s="8"/>
      <x:c r="I35" s="8" t="s">
        <x:v>74</x:v>
      </x:c>
      <x:c r="J35" s="5" t="s">
        <x:v>190</x:v>
      </x:c>
      <x:c r="K35" s="25" t="s">
        <x:v>76</x:v>
      </x:c>
      <x:c r="L35" s="20" t="s">
        <x:v>191</x:v>
      </x:c>
      <x:c r="M35" s="5"/>
    </x:row>
    <x:row r="36" ht="42">
      <x:c r="A36" s="5" t="s">
        <x:v>41</x:v>
      </x:c>
      <x:c r="B36" s="5">
        <x:v>28</x:v>
      </x:c>
      <x:c r="C36" s="8" t="s">
        <x:v>192</x:v>
      </x:c>
      <x:c r="D36" s="8">
        <x:v>10</x:v>
      </x:c>
      <x:c r="E36" s="8" t="s">
        <x:v>72</x:v>
      </x:c>
      <x:c r="F36" s="8" t="s">
        <x:v>193</x:v>
      </x:c>
      <x:c r="G36" s="20" t="s">
        <x:v>194</x:v>
      </x:c>
      <x:c r="H36" s="8" t="s">
        <x:v>195</x:v>
      </x:c>
      <x:c r="I36" s="8" t="s">
        <x:v>144</x:v>
      </x:c>
      <x:c r="J36" s="5" t="s">
        <x:v>196</x:v>
      </x:c>
      <x:c r="K36" s="25" t="s">
        <x:v>76</x:v>
      </x:c>
      <x:c r="L36" s="20" t="s">
        <x:v>197</x:v>
      </x:c>
      <x:c r="M36" s="5"/>
    </x:row>
    <x:row r="37" ht="28">
      <x:c r="A37" s="5" t="s">
        <x:v>41</x:v>
      </x:c>
      <x:c r="B37" s="5">
        <x:v>29</x:v>
      </x:c>
      <x:c r="C37" s="8" t="s">
        <x:v>198</x:v>
      </x:c>
      <x:c r="D37" s="8">
        <x:v>12</x:v>
      </x:c>
      <x:c r="E37" s="8" t="s">
        <x:v>53</x:v>
      </x:c>
      <x:c r="F37" s="8" t="s">
        <x:v>199</x:v>
      </x:c>
      <x:c r="G37" s="20" t="s">
        <x:v>55</x:v>
      </x:c>
      <x:c r="H37" s="8" t="s">
        <x:v>56</x:v>
      </x:c>
      <x:c r="I37" s="8" t="s">
        <x:v>47</x:v>
      </x:c>
      <x:c r="J37" s="5" t="s">
        <x:v>200</x:v>
      </x:c>
      <x:c r="K37" s="25" t="s">
        <x:v>76</x:v>
      </x:c>
      <x:c r="L37" s="20" t="s">
        <x:v>201</x:v>
      </x:c>
      <x:c r="M37" s="5"/>
    </x:row>
    <x:row r="38" ht="56">
      <x:c r="A38" s="5" t="s">
        <x:v>41</x:v>
      </x:c>
      <x:c r="B38" s="5">
        <x:v>30</x:v>
      </x:c>
      <x:c r="C38" s="8" t="s">
        <x:v>202</x:v>
      </x:c>
      <x:c r="D38" s="8">
        <x:v>30</x:v>
      </x:c>
      <x:c r="E38" s="8" t="s">
        <x:v>53</x:v>
      </x:c>
      <x:c r="F38" s="8" t="s">
        <x:v>203</x:v>
      </x:c>
      <x:c r="G38" s="20" t="s">
        <x:v>204</x:v>
      </x:c>
      <x:c r="H38" s="8" t="s">
        <x:v>205</x:v>
      </x:c>
      <x:c r="I38" s="8" t="s">
        <x:v>144</x:v>
      </x:c>
      <x:c r="J38" s="5" t="s">
        <x:v>206</x:v>
      </x:c>
      <x:c r="K38" s="25" t="s">
        <x:v>76</x:v>
      </x:c>
      <x:c r="L38" s="20" t="s">
        <x:v>55</x:v>
      </x:c>
      <x:c r="M38" s="5"/>
    </x:row>
    <x:row r="39" ht="42">
      <x:c r="A39" s="5" t="s">
        <x:v>41</x:v>
      </x:c>
      <x:c r="B39" s="5">
        <x:v>31</x:v>
      </x:c>
      <x:c r="C39" s="8" t="s">
        <x:v>207</x:v>
      </x:c>
      <x:c r="D39" s="8">
        <x:v>28</x:v>
      </x:c>
      <x:c r="E39" s="8" t="s">
        <x:v>104</x:v>
      </x:c>
      <x:c r="F39" s="8" t="s">
        <x:v>208</x:v>
      </x:c>
      <x:c r="G39" s="20" t="s">
        <x:v>117</x:v>
      </x:c>
      <x:c r="H39" s="8" t="s">
        <x:v>209</x:v>
      </x:c>
      <x:c r="I39" s="8" t="s">
        <x:v>47</x:v>
      </x:c>
      <x:c r="J39" s="5" t="s">
        <x:v>210</x:v>
      </x:c>
      <x:c r="K39" s="25" t="s">
        <x:v>76</x:v>
      </x:c>
      <x:c r="L39" s="25" t="s">
        <x:v>211</x:v>
      </x:c>
      <x:c r="M39" s="5"/>
    </x:row>
    <x:row r="40" ht="56">
      <x:c r="A40" s="5" t="s">
        <x:v>212</x:v>
      </x:c>
      <x:c r="B40" s="5">
        <x:v>1</x:v>
      </x:c>
      <x:c r="C40" s="8" t="s">
        <x:v>213</x:v>
      </x:c>
      <x:c r="D40" s="8">
        <x:v>15</x:v>
      </x:c>
      <x:c r="E40" s="8" t="s">
        <x:v>72</x:v>
      </x:c>
      <x:c r="F40" s="8" t="s">
        <x:v>214</x:v>
      </x:c>
      <x:c r="G40" s="20" t="s">
        <x:v>21</x:v>
      </x:c>
      <x:c r="H40" s="8" t="s">
        <x:v>215</x:v>
      </x:c>
      <x:c r="I40" s="8" t="s">
        <x:v>47</x:v>
      </x:c>
      <x:c r="J40" s="5" t="s">
        <x:v>216</x:v>
      </x:c>
      <x:c r="K40" s="25" t="s">
        <x:v>76</x:v>
      </x:c>
      <x:c r="L40" s="20" t="s">
        <x:v>217</x:v>
      </x:c>
      <x:c r="M40" s="5"/>
    </x:row>
    <x:row r="41" ht="98">
      <x:c r="A41" s="5" t="s">
        <x:v>212</x:v>
      </x:c>
      <x:c r="B41" s="5">
        <x:v>2</x:v>
      </x:c>
      <x:c r="C41" s="8" t="s">
        <x:v>218</x:v>
      </x:c>
      <x:c r="D41" s="8">
        <x:v>14</x:v>
      </x:c>
      <x:c r="E41" s="8" t="s">
        <x:v>53</x:v>
      </x:c>
      <x:c r="F41" s="8" t="s">
        <x:v>219</x:v>
      </x:c>
      <x:c r="G41" s="20" t="s">
        <x:v>220</x:v>
      </x:c>
      <x:c r="H41" s="8" t="s">
        <x:v>221</x:v>
      </x:c>
      <x:c r="I41" s="8" t="s">
        <x:v>47</x:v>
      </x:c>
      <x:c r="J41" s="5" t="s">
        <x:v>222</x:v>
      </x:c>
      <x:c r="K41" s="25" t="s">
        <x:v>59</x:v>
      </x:c>
      <x:c r="L41" s="5"/>
      <x:c r="M41" s="5"/>
    </x:row>
    <x:row r="42" ht="56">
      <x:c r="A42" s="5" t="s">
        <x:v>212</x:v>
      </x:c>
      <x:c r="B42" s="5">
        <x:v>3</x:v>
      </x:c>
      <x:c r="C42" s="8" t="s">
        <x:v>223</x:v>
      </x:c>
      <x:c r="D42" s="8">
        <x:v>11</x:v>
      </x:c>
      <x:c r="E42" s="8" t="s">
        <x:v>43</x:v>
      </x:c>
      <x:c r="F42" s="8" t="s">
        <x:v>224</x:v>
      </x:c>
      <x:c r="G42" s="20" t="s">
        <x:v>22</x:v>
      </x:c>
      <x:c r="H42" s="8" t="s">
        <x:v>225</x:v>
      </x:c>
      <x:c r="I42" s="8" t="s">
        <x:v>47</x:v>
      </x:c>
      <x:c r="J42" s="5" t="s">
        <x:v>226</x:v>
      </x:c>
      <x:c r="K42" s="25" t="s">
        <x:v>59</x:v>
      </x:c>
      <x:c r="L42" s="5"/>
      <x:c r="M42" s="5"/>
    </x:row>
    <x:row r="43">
      <x:c r="A43" s="5" t="s">
        <x:v>212</x:v>
      </x:c>
      <x:c r="B43" s="5">
        <x:v>4</x:v>
      </x:c>
      <x:c r="C43" s="8" t="s">
        <x:v>227</x:v>
      </x:c>
      <x:c r="D43" s="8">
        <x:v>15</x:v>
      </x:c>
      <x:c r="E43" s="8" t="s">
        <x:v>72</x:v>
      </x:c>
      <x:c r="F43" s="8" t="s">
        <x:v>228</x:v>
      </x:c>
      <x:c r="G43" s="20" t="s">
        <x:v>229</x:v>
      </x:c>
      <x:c r="H43" s="8" t="s">
        <x:v>230</x:v>
      </x:c>
      <x:c r="I43" s="8" t="s">
        <x:v>47</x:v>
      </x:c>
      <x:c r="J43" s="5" t="s">
        <x:v>231</x:v>
      </x:c>
      <x:c r="K43" s="25" t="s">
        <x:v>76</x:v>
      </x:c>
      <x:c r="L43" s="20" t="s">
        <x:v>217</x:v>
      </x:c>
      <x:c r="M43" s="5"/>
    </x:row>
    <x:row r="44" ht="70">
      <x:c r="A44" s="5" t="s">
        <x:v>212</x:v>
      </x:c>
      <x:c r="B44" s="5">
        <x:v>5</x:v>
      </x:c>
      <x:c r="C44" s="8" t="s">
        <x:v>232</x:v>
      </x:c>
      <x:c r="D44" s="8">
        <x:v>6</x:v>
      </x:c>
      <x:c r="E44" s="8" t="s">
        <x:v>72</x:v>
      </x:c>
      <x:c r="F44" s="8" t="s">
        <x:v>233</x:v>
      </x:c>
      <x:c r="G44" s="20" t="s">
        <x:v>229</x:v>
      </x:c>
      <x:c r="H44" s="8" t="s">
        <x:v>234</x:v>
      </x:c>
      <x:c r="I44" s="8" t="s">
        <x:v>57</x:v>
      </x:c>
      <x:c r="J44" s="5" t="s">
        <x:v>235</x:v>
      </x:c>
      <x:c r="K44" s="25" t="s">
        <x:v>76</x:v>
      </x:c>
      <x:c r="L44" s="20" t="s">
        <x:v>217</x:v>
      </x:c>
      <x:c r="M44" s="5"/>
    </x:row>
    <x:row r="45" ht="42">
      <x:c r="A45" s="5" t="s">
        <x:v>212</x:v>
      </x:c>
      <x:c r="B45" s="5">
        <x:v>6</x:v>
      </x:c>
      <x:c r="C45" s="8" t="s">
        <x:v>236</x:v>
      </x:c>
      <x:c r="D45" s="8">
        <x:v>25</x:v>
      </x:c>
      <x:c r="E45" s="8" t="s">
        <x:v>43</x:v>
      </x:c>
      <x:c r="F45" s="8" t="s">
        <x:v>237</x:v>
      </x:c>
      <x:c r="G45" s="20" t="s">
        <x:v>117</x:v>
      </x:c>
      <x:c r="H45" s="8" t="s">
        <x:v>238</x:v>
      </x:c>
      <x:c r="I45" s="8" t="s">
        <x:v>47</x:v>
      </x:c>
      <x:c r="J45" s="5" t="s">
        <x:v>239</x:v>
      </x:c>
      <x:c r="K45" s="25" t="s">
        <x:v>240</x:v>
      </x:c>
      <x:c r="L45" s="25" t="s">
        <x:v>241</x:v>
      </x:c>
      <x:c r="M45" s="5"/>
    </x:row>
    <x:row r="46" ht="56">
      <x:c r="A46" s="5" t="s">
        <x:v>212</x:v>
      </x:c>
      <x:c r="B46" s="5">
        <x:v>7</x:v>
      </x:c>
      <x:c r="C46" s="8" t="s">
        <x:v>242</x:v>
      </x:c>
      <x:c r="D46" s="8">
        <x:v>23</x:v>
      </x:c>
      <x:c r="E46" s="8" t="s">
        <x:v>89</x:v>
      </x:c>
      <x:c r="F46" s="8" t="s">
        <x:v>243</x:v>
      </x:c>
      <x:c r="G46" s="20" t="s">
        <x:v>158</x:v>
      </x:c>
      <x:c r="H46" s="8" t="s">
        <x:v>244</x:v>
      </x:c>
      <x:c r="I46" s="8" t="s">
        <x:v>47</x:v>
      </x:c>
      <x:c r="J46" s="5" t="s">
        <x:v>245</x:v>
      </x:c>
      <x:c r="K46" s="25" t="s">
        <x:v>49</x:v>
      </x:c>
      <x:c r="M46" s="5" t="s">
        <x:v>246</x:v>
      </x:c>
    </x:row>
    <x:row r="47">
      <x:c r="A47" s="5" t="s">
        <x:v>212</x:v>
      </x:c>
      <x:c r="B47" s="5">
        <x:v>8</x:v>
      </x:c>
      <x:c r="C47" s="8" t="s">
        <x:v>247</x:v>
      </x:c>
      <x:c r="D47" s="8">
        <x:v>12</x:v>
      </x:c>
      <x:c r="E47" s="8" t="s">
        <x:v>72</x:v>
      </x:c>
      <x:c r="F47" s="8" t="s">
        <x:v>248</x:v>
      </x:c>
      <x:c r="G47" s="20" t="s">
        <x:v>21</x:v>
      </x:c>
      <x:c r="H47" s="8" t="s">
        <x:v>249</x:v>
      </x:c>
      <x:c r="I47" s="8" t="s">
        <x:v>47</x:v>
      </x:c>
      <x:c r="J47" s="5" t="s">
        <x:v>250</x:v>
      </x:c>
      <x:c r="K47" s="25" t="s">
        <x:v>76</x:v>
      </x:c>
      <x:c r="L47" s="20" t="s">
        <x:v>217</x:v>
      </x:c>
      <x:c r="M47" s="5"/>
    </x:row>
    <x:row r="48" ht="84">
      <x:c r="A48" s="5" t="s">
        <x:v>212</x:v>
      </x:c>
      <x:c r="B48" s="5">
        <x:v>9</x:v>
      </x:c>
      <x:c r="C48" s="8" t="s">
        <x:v>251</x:v>
      </x:c>
      <x:c r="D48" s="8">
        <x:v>13</x:v>
      </x:c>
      <x:c r="E48" s="8" t="s">
        <x:v>89</x:v>
      </x:c>
      <x:c r="F48" s="8" t="s">
        <x:v>252</x:v>
      </x:c>
      <x:c r="G48" s="20" t="s">
        <x:v>17</x:v>
      </x:c>
      <x:c r="H48" s="8" t="s">
        <x:v>253</x:v>
      </x:c>
      <x:c r="I48" s="8" t="s">
        <x:v>47</x:v>
      </x:c>
      <x:c r="J48" s="5" t="s">
        <x:v>254</x:v>
      </x:c>
      <x:c r="K48" s="25" t="s">
        <x:v>76</x:v>
      </x:c>
      <x:c r="L48" s="20" t="s">
        <x:v>255</x:v>
      </x:c>
      <x:c r="M48" s="5"/>
    </x:row>
    <x:row r="49" ht="56">
      <x:c r="A49" s="5" t="s">
        <x:v>212</x:v>
      </x:c>
      <x:c r="B49" s="5">
        <x:v>10</x:v>
      </x:c>
      <x:c r="C49" s="8" t="s">
        <x:v>256</x:v>
      </x:c>
      <x:c r="D49" s="8">
        <x:v>14</x:v>
      </x:c>
      <x:c r="E49" s="8" t="s">
        <x:v>72</x:v>
      </x:c>
      <x:c r="F49" s="8" t="s">
        <x:v>257</x:v>
      </x:c>
      <x:c r="G49" s="20"/>
      <x:c r="H49" s="8"/>
      <x:c r="I49" s="8" t="s">
        <x:v>74</x:v>
      </x:c>
      <x:c r="J49" s="5" t="s">
        <x:v>258</x:v>
      </x:c>
      <x:c r="K49" s="25" t="s">
        <x:v>76</x:v>
      </x:c>
      <x:c r="L49" s="20" t="s">
        <x:v>217</x:v>
      </x:c>
      <x:c r="M49" s="5"/>
    </x:row>
    <x:row r="50" ht="28">
      <x:c r="A50" s="5" t="s">
        <x:v>212</x:v>
      </x:c>
      <x:c r="B50" s="5">
        <x:v>11</x:v>
      </x:c>
      <x:c r="C50" s="8" t="s">
        <x:v>259</x:v>
      </x:c>
      <x:c r="D50" s="8">
        <x:v>13</x:v>
      </x:c>
      <x:c r="E50" s="8" t="s">
        <x:v>89</x:v>
      </x:c>
      <x:c r="F50" s="8" t="s">
        <x:v>260</x:v>
      </x:c>
      <x:c r="G50" s="20" t="s">
        <x:v>55</x:v>
      </x:c>
      <x:c r="H50" s="8" t="s">
        <x:v>261</x:v>
      </x:c>
      <x:c r="I50" s="8" t="s">
        <x:v>47</x:v>
      </x:c>
      <x:c r="J50" s="5" t="s">
        <x:v>262</x:v>
      </x:c>
      <x:c r="K50" s="25" t="s">
        <x:v>76</x:v>
      </x:c>
      <x:c r="L50" s="20" t="s">
        <x:v>158</x:v>
      </x:c>
      <x:c r="M50" s="5"/>
    </x:row>
    <x:row r="51" ht="42">
      <x:c r="A51" s="5" t="s">
        <x:v>212</x:v>
      </x:c>
      <x:c r="B51" s="5">
        <x:v>12</x:v>
      </x:c>
      <x:c r="C51" s="8" t="s">
        <x:v>263</x:v>
      </x:c>
      <x:c r="D51" s="8">
        <x:v>8</x:v>
      </x:c>
      <x:c r="E51" s="8" t="s">
        <x:v>72</x:v>
      </x:c>
      <x:c r="F51" s="8" t="s">
        <x:v>264</x:v>
      </x:c>
      <x:c r="G51" s="20"/>
      <x:c r="H51" s="8"/>
      <x:c r="I51" s="8" t="s">
        <x:v>74</x:v>
      </x:c>
      <x:c r="J51" s="5" t="s">
        <x:v>265</x:v>
      </x:c>
      <x:c r="K51" s="25" t="s">
        <x:v>76</x:v>
      </x:c>
      <x:c r="L51" s="20" t="s">
        <x:v>266</x:v>
      </x:c>
      <x:c r="M51" s="5"/>
    </x:row>
    <x:row r="52" ht="98">
      <x:c r="A52" s="5" t="s">
        <x:v>212</x:v>
      </x:c>
      <x:c r="B52" s="5">
        <x:v>13</x:v>
      </x:c>
      <x:c r="C52" s="8" t="s">
        <x:v>267</x:v>
      </x:c>
      <x:c r="D52" s="8">
        <x:v>20</x:v>
      </x:c>
      <x:c r="E52" s="8" t="s">
        <x:v>43</x:v>
      </x:c>
      <x:c r="F52" s="8" t="s">
        <x:v>268</x:v>
      </x:c>
      <x:c r="G52" s="20" t="s">
        <x:v>55</x:v>
      </x:c>
      <x:c r="H52" s="8" t="s">
        <x:v>269</x:v>
      </x:c>
      <x:c r="I52" s="8" t="s">
        <x:v>57</x:v>
      </x:c>
      <x:c r="J52" s="5" t="s">
        <x:v>270</x:v>
      </x:c>
      <x:c r="K52" s="25" t="s">
        <x:v>76</x:v>
      </x:c>
      <x:c r="L52" s="25" t="s">
        <x:v>271</x:v>
      </x:c>
      <x:c r="M52" s="5"/>
    </x:row>
    <x:row r="53" ht="28">
      <x:c r="A53" s="5" t="s">
        <x:v>212</x:v>
      </x:c>
      <x:c r="B53" s="5">
        <x:v>14</x:v>
      </x:c>
      <x:c r="C53" s="8" t="s">
        <x:v>272</x:v>
      </x:c>
      <x:c r="D53" s="8">
        <x:v>22</x:v>
      </x:c>
      <x:c r="E53" s="8" t="s">
        <x:v>89</x:v>
      </x:c>
      <x:c r="F53" s="8" t="s">
        <x:v>273</x:v>
      </x:c>
      <x:c r="G53" s="20" t="s">
        <x:v>164</x:v>
      </x:c>
      <x:c r="H53" s="8" t="s">
        <x:v>274</x:v>
      </x:c>
      <x:c r="I53" s="8" t="s">
        <x:v>47</x:v>
      </x:c>
      <x:c r="J53" s="5" t="s">
        <x:v>275</x:v>
      </x:c>
      <x:c r="K53" s="25" t="s">
        <x:v>76</x:v>
      </x:c>
      <x:c r="L53" s="20" t="s">
        <x:v>276</x:v>
      </x:c>
      <x:c r="M53" s="5"/>
    </x:row>
    <x:row r="54" ht="112">
      <x:c r="A54" s="5" t="s">
        <x:v>212</x:v>
      </x:c>
      <x:c r="B54" s="5">
        <x:v>15</x:v>
      </x:c>
      <x:c r="C54" s="8" t="s">
        <x:v>277</x:v>
      </x:c>
      <x:c r="D54" s="8">
        <x:v>15</x:v>
      </x:c>
      <x:c r="E54" s="8" t="s">
        <x:v>72</x:v>
      </x:c>
      <x:c r="F54" s="8" t="s">
        <x:v>278</x:v>
      </x:c>
      <x:c r="G54" s="20"/>
      <x:c r="H54" s="8"/>
      <x:c r="I54" s="8" t="s">
        <x:v>74</x:v>
      </x:c>
      <x:c r="J54" s="5" t="s">
        <x:v>279</x:v>
      </x:c>
      <x:c r="K54" s="25" t="s">
        <x:v>76</x:v>
      </x:c>
      <x:c r="L54" s="20" t="s">
        <x:v>197</x:v>
      </x:c>
      <x:c r="M54" s="5"/>
    </x:row>
    <x:row r="55">
      <x:c r="A55" s="5" t="s">
        <x:v>212</x:v>
      </x:c>
      <x:c r="B55" s="5">
        <x:v>16</x:v>
      </x:c>
      <x:c r="C55" s="8" t="s">
        <x:v>280</x:v>
      </x:c>
      <x:c r="D55" s="8">
        <x:v>15</x:v>
      </x:c>
      <x:c r="E55" s="8" t="s">
        <x:v>72</x:v>
      </x:c>
      <x:c r="F55" s="8" t="s">
        <x:v>281</x:v>
      </x:c>
      <x:c r="G55" s="20" t="s">
        <x:v>17</x:v>
      </x:c>
      <x:c r="H55" s="8" t="s">
        <x:v>282</x:v>
      </x:c>
      <x:c r="I55" s="8" t="s">
        <x:v>47</x:v>
      </x:c>
      <x:c r="J55" s="5" t="s">
        <x:v>283</x:v>
      </x:c>
      <x:c r="K55" s="25" t="s">
        <x:v>76</x:v>
      </x:c>
      <x:c r="L55" s="20" t="s">
        <x:v>255</x:v>
      </x:c>
      <x:c r="M55" s="5"/>
    </x:row>
    <x:row r="56" ht="28">
      <x:c r="A56" s="5" t="s">
        <x:v>212</x:v>
      </x:c>
      <x:c r="B56" s="5">
        <x:v>17</x:v>
      </x:c>
      <x:c r="C56" s="8" t="s">
        <x:v>284</x:v>
      </x:c>
      <x:c r="D56" s="8">
        <x:v>9</x:v>
      </x:c>
      <x:c r="E56" s="8" t="s">
        <x:v>43</x:v>
      </x:c>
      <x:c r="F56" s="8" t="s">
        <x:v>285</x:v>
      </x:c>
      <x:c r="G56" s="20" t="s">
        <x:v>286</x:v>
      </x:c>
      <x:c r="H56" s="8" t="s">
        <x:v>287</x:v>
      </x:c>
      <x:c r="I56" s="8" t="s">
        <x:v>47</x:v>
      </x:c>
      <x:c r="J56" s="5" t="s">
        <x:v>288</x:v>
      </x:c>
      <x:c r="K56" s="25" t="s">
        <x:v>76</x:v>
      </x:c>
      <x:c r="L56" s="20" t="s">
        <x:v>22</x:v>
      </x:c>
      <x:c r="M56" s="5"/>
    </x:row>
    <x:row r="57" ht="42">
      <x:c r="A57" s="5" t="s">
        <x:v>212</x:v>
      </x:c>
      <x:c r="B57" s="5">
        <x:v>18</x:v>
      </x:c>
      <x:c r="C57" s="8" t="s">
        <x:v>289</x:v>
      </x:c>
      <x:c r="D57" s="8">
        <x:v>18</x:v>
      </x:c>
      <x:c r="E57" s="8" t="s">
        <x:v>89</x:v>
      </x:c>
      <x:c r="F57" s="8" t="s">
        <x:v>290</x:v>
      </x:c>
      <x:c r="G57" s="20" t="s">
        <x:v>291</x:v>
      </x:c>
      <x:c r="H57" s="8" t="s">
        <x:v>292</x:v>
      </x:c>
      <x:c r="I57" s="8" t="s">
        <x:v>85</x:v>
      </x:c>
      <x:c r="J57" s="5" t="s">
        <x:v>293</x:v>
      </x:c>
      <x:c r="K57" s="25" t="s">
        <x:v>76</x:v>
      </x:c>
      <x:c r="L57" s="20" t="s">
        <x:v>294</x:v>
      </x:c>
      <x:c r="M57" s="5"/>
    </x:row>
    <x:row r="58" ht="70">
      <x:c r="A58" s="5" t="s">
        <x:v>212</x:v>
      </x:c>
      <x:c r="B58" s="5">
        <x:v>19</x:v>
      </x:c>
      <x:c r="C58" s="8" t="s">
        <x:v>295</x:v>
      </x:c>
      <x:c r="D58" s="8">
        <x:v>7</x:v>
      </x:c>
      <x:c r="E58" s="8" t="s">
        <x:v>89</x:v>
      </x:c>
      <x:c r="F58" s="8" t="s">
        <x:v>296</x:v>
      </x:c>
      <x:c r="G58" s="20" t="s">
        <x:v>229</x:v>
      </x:c>
      <x:c r="H58" s="8" t="s">
        <x:v>230</x:v>
      </x:c>
      <x:c r="I58" s="8" t="s">
        <x:v>47</x:v>
      </x:c>
      <x:c r="J58" s="5" t="s">
        <x:v>297</x:v>
      </x:c>
      <x:c r="K58" s="25" t="s">
        <x:v>59</x:v>
      </x:c>
      <x:c r="L58" s="5"/>
      <x:c r="M58" s="5"/>
    </x:row>
    <x:row r="59" ht="70">
      <x:c r="A59" s="5" t="s">
        <x:v>212</x:v>
      </x:c>
      <x:c r="B59" s="5">
        <x:v>20</x:v>
      </x:c>
      <x:c r="C59" s="8" t="s">
        <x:v>298</x:v>
      </x:c>
      <x:c r="D59" s="8">
        <x:v>20</x:v>
      </x:c>
      <x:c r="E59" s="8" t="s">
        <x:v>43</x:v>
      </x:c>
      <x:c r="F59" s="8" t="s">
        <x:v>299</x:v>
      </x:c>
      <x:c r="G59" s="20" t="s">
        <x:v>184</x:v>
      </x:c>
      <x:c r="H59" s="8" t="s">
        <x:v>300</x:v>
      </x:c>
      <x:c r="I59" s="8" t="s">
        <x:v>144</x:v>
      </x:c>
      <x:c r="J59" s="5" t="s">
        <x:v>301</x:v>
      </x:c>
      <x:c r="K59" s="25" t="s">
        <x:v>76</x:v>
      </x:c>
      <x:c r="L59" s="20" t="s">
        <x:v>302</x:v>
      </x:c>
      <x:c r="M59" s="5"/>
    </x:row>
    <x:row r="60" ht="28">
      <x:c r="A60" s="5" t="s">
        <x:v>212</x:v>
      </x:c>
      <x:c r="B60" s="5">
        <x:v>21</x:v>
      </x:c>
      <x:c r="C60" s="8" t="s">
        <x:v>303</x:v>
      </x:c>
      <x:c r="D60" s="8">
        <x:v>18</x:v>
      </x:c>
      <x:c r="E60" s="8" t="s">
        <x:v>89</x:v>
      </x:c>
      <x:c r="F60" s="8" t="s">
        <x:v>304</x:v>
      </x:c>
      <x:c r="G60" s="20" t="s">
        <x:v>17</x:v>
      </x:c>
      <x:c r="H60" s="8" t="s">
        <x:v>305</x:v>
      </x:c>
      <x:c r="I60" s="8" t="s">
        <x:v>47</x:v>
      </x:c>
      <x:c r="J60" s="5" t="s">
        <x:v>306</x:v>
      </x:c>
      <x:c r="K60" s="25" t="s">
        <x:v>76</x:v>
      </x:c>
      <x:c r="L60" s="20" t="s">
        <x:v>307</x:v>
      </x:c>
      <x:c r="M60" s="5"/>
    </x:row>
    <x:row r="61" ht="98">
      <x:c r="A61" s="5" t="s">
        <x:v>212</x:v>
      </x:c>
      <x:c r="B61" s="5">
        <x:v>22</x:v>
      </x:c>
      <x:c r="C61" s="8" t="s">
        <x:v>308</x:v>
      </x:c>
      <x:c r="D61" s="8">
        <x:v>15</x:v>
      </x:c>
      <x:c r="E61" s="8" t="s">
        <x:v>72</x:v>
      </x:c>
      <x:c r="F61" s="8" t="s">
        <x:v>309</x:v>
      </x:c>
      <x:c r="G61" s="20" t="s">
        <x:v>197</x:v>
      </x:c>
      <x:c r="H61" s="8" t="s">
        <x:v>310</x:v>
      </x:c>
      <x:c r="I61" s="8" t="s">
        <x:v>144</x:v>
      </x:c>
      <x:c r="J61" s="5" t="s">
        <x:v>311</x:v>
      </x:c>
      <x:c r="K61" s="25" t="s">
        <x:v>59</x:v>
      </x:c>
      <x:c r="L61" s="20"/>
      <x:c r="M61" s="5"/>
    </x:row>
    <x:row r="62" ht="98">
      <x:c r="A62" s="5" t="s">
        <x:v>212</x:v>
      </x:c>
      <x:c r="B62" s="5">
        <x:v>23</x:v>
      </x:c>
      <x:c r="C62" s="8" t="s">
        <x:v>312</x:v>
      </x:c>
      <x:c r="D62" s="8">
        <x:v>15</x:v>
      </x:c>
      <x:c r="E62" s="8" t="s">
        <x:v>72</x:v>
      </x:c>
      <x:c r="F62" s="8" t="s">
        <x:v>313</x:v>
      </x:c>
      <x:c r="G62" s="20" t="s">
        <x:v>142</x:v>
      </x:c>
      <x:c r="H62" s="8" t="s">
        <x:v>314</x:v>
      </x:c>
      <x:c r="I62" s="8" t="s">
        <x:v>144</x:v>
      </x:c>
      <x:c r="J62" s="5" t="s">
        <x:v>315</x:v>
      </x:c>
      <x:c r="K62" s="25" t="s">
        <x:v>76</x:v>
      </x:c>
      <x:c r="L62" s="25" t="s">
        <x:v>316</x:v>
      </x:c>
      <x:c r="M62" s="5"/>
    </x:row>
    <x:row r="63" ht="84">
      <x:c r="A63" s="5" t="s">
        <x:v>212</x:v>
      </x:c>
      <x:c r="B63" s="5">
        <x:v>24</x:v>
      </x:c>
      <x:c r="C63" s="8" t="s">
        <x:v>317</x:v>
      </x:c>
      <x:c r="D63" s="8">
        <x:v>10</x:v>
      </x:c>
      <x:c r="E63" s="8" t="s">
        <x:v>104</x:v>
      </x:c>
      <x:c r="F63" s="8" t="s">
        <x:v>318</x:v>
      </x:c>
      <x:c r="G63" s="20" t="s">
        <x:v>286</x:v>
      </x:c>
      <x:c r="H63" s="8" t="s">
        <x:v>319</x:v>
      </x:c>
      <x:c r="I63" s="8" t="s">
        <x:v>85</x:v>
      </x:c>
      <x:c r="J63" s="5" t="s">
        <x:v>320</x:v>
      </x:c>
      <x:c r="K63" s="25" t="s">
        <x:v>76</x:v>
      </x:c>
      <x:c r="L63" s="20" t="s">
        <x:v>22</x:v>
      </x:c>
      <x:c r="M63" s="5"/>
    </x:row>
    <x:row r="64" ht="28">
      <x:c r="A64" s="5" t="s">
        <x:v>212</x:v>
      </x:c>
      <x:c r="B64" s="5">
        <x:v>25</x:v>
      </x:c>
      <x:c r="C64" s="8" t="s">
        <x:v>321</x:v>
      </x:c>
      <x:c r="D64" s="8">
        <x:v>16</x:v>
      </x:c>
      <x:c r="E64" s="8" t="s">
        <x:v>72</x:v>
      </x:c>
      <x:c r="F64" s="8" t="s">
        <x:v>322</x:v>
      </x:c>
      <x:c r="G64" s="20"/>
      <x:c r="H64" s="8"/>
      <x:c r="I64" s="8" t="s">
        <x:v>74</x:v>
      </x:c>
      <x:c r="J64" s="5" t="s">
        <x:v>323</x:v>
      </x:c>
      <x:c r="K64" s="25" t="s">
        <x:v>76</x:v>
      </x:c>
      <x:c r="L64" s="25" t="s">
        <x:v>324</x:v>
      </x:c>
      <x:c r="M64" s="5"/>
    </x:row>
    <x:row r="65" ht="56">
      <x:c r="A65" s="5" t="s">
        <x:v>212</x:v>
      </x:c>
      <x:c r="B65" s="5">
        <x:v>26</x:v>
      </x:c>
      <x:c r="C65" s="8" t="s">
        <x:v>325</x:v>
      </x:c>
      <x:c r="D65" s="8">
        <x:v>13</x:v>
      </x:c>
      <x:c r="E65" s="8" t="s">
        <x:v>53</x:v>
      </x:c>
      <x:c r="F65" s="8" t="s">
        <x:v>326</x:v>
      </x:c>
      <x:c r="G65" s="20" t="s">
        <x:v>327</x:v>
      </x:c>
      <x:c r="H65" s="8" t="s">
        <x:v>328</x:v>
      </x:c>
      <x:c r="I65" s="8" t="s">
        <x:v>144</x:v>
      </x:c>
      <x:c r="J65" s="5" t="s">
        <x:v>329</x:v>
      </x:c>
      <x:c r="K65" s="25" t="s">
        <x:v>76</x:v>
      </x:c>
      <x:c r="L65" s="25" t="s">
        <x:v>55</x:v>
      </x:c>
      <x:c r="M65" s="5"/>
    </x:row>
    <x:row r="66" ht="56">
      <x:c r="A66" s="5" t="s">
        <x:v>212</x:v>
      </x:c>
      <x:c r="B66" s="5">
        <x:v>27</x:v>
      </x:c>
      <x:c r="C66" s="8" t="s">
        <x:v>330</x:v>
      </x:c>
      <x:c r="D66" s="8">
        <x:v>19</x:v>
      </x:c>
      <x:c r="E66" s="8" t="s">
        <x:v>43</x:v>
      </x:c>
      <x:c r="F66" s="8" t="s">
        <x:v>331</x:v>
      </x:c>
      <x:c r="G66" s="20" t="s">
        <x:v>45</x:v>
      </x:c>
      <x:c r="H66" s="8" t="s">
        <x:v>332</x:v>
      </x:c>
      <x:c r="I66" s="8" t="s">
        <x:v>57</x:v>
      </x:c>
      <x:c r="J66" s="5" t="s">
        <x:v>333</x:v>
      </x:c>
      <x:c r="K66" s="25" t="s">
        <x:v>76</x:v>
      </x:c>
      <x:c r="L66" s="25" t="s">
        <x:v>324</x:v>
      </x:c>
      <x:c r="M66" s="5"/>
    </x:row>
    <x:row r="67" ht="70">
      <x:c r="A67" s="5" t="s">
        <x:v>212</x:v>
      </x:c>
      <x:c r="B67" s="5">
        <x:v>28</x:v>
      </x:c>
      <x:c r="C67" s="8" t="s">
        <x:v>334</x:v>
      </x:c>
      <x:c r="D67" s="8">
        <x:v>24</x:v>
      </x:c>
      <x:c r="E67" s="8" t="s">
        <x:v>89</x:v>
      </x:c>
      <x:c r="F67" s="8" t="s">
        <x:v>335</x:v>
      </x:c>
      <x:c r="G67" s="20" t="s">
        <x:v>336</x:v>
      </x:c>
      <x:c r="H67" s="8" t="s">
        <x:v>337</x:v>
      </x:c>
      <x:c r="I67" s="8" t="s">
        <x:v>144</x:v>
      </x:c>
      <x:c r="J67" s="5" t="s">
        <x:v>338</x:v>
      </x:c>
      <x:c r="K67" s="25" t="s">
        <x:v>76</x:v>
      </x:c>
      <x:c r="L67" s="20" t="s">
        <x:v>339</x:v>
      </x:c>
      <x:c r="M67" s="5"/>
    </x:row>
    <x:row r="68" ht="42">
      <x:c r="A68" s="5" t="s">
        <x:v>212</x:v>
      </x:c>
      <x:c r="B68" s="5">
        <x:v>54</x:v>
      </x:c>
      <x:c r="C68" s="8" t="s">
        <x:v>340</x:v>
      </x:c>
      <x:c r="D68" s="8">
        <x:v>15</x:v>
      </x:c>
      <x:c r="E68" s="8" t="s">
        <x:v>72</x:v>
      </x:c>
      <x:c r="F68" s="8" t="s">
        <x:v>341</x:v>
      </x:c>
      <x:c r="G68" s="20" t="s">
        <x:v>229</x:v>
      </x:c>
      <x:c r="H68" s="8" t="s">
        <x:v>342</x:v>
      </x:c>
      <x:c r="I68" s="8" t="s">
        <x:v>47</x:v>
      </x:c>
      <x:c r="J68" s="5" t="s">
        <x:v>343</x:v>
      </x:c>
      <x:c r="K68" s="25" t="s">
        <x:v>76</x:v>
      </x:c>
      <x:c r="L68" s="25" t="s">
        <x:v>324</x:v>
      </x:c>
      <x:c r="M68" s="5"/>
    </x:row>
    <x:row r="69" ht="28">
      <x:c r="A69" s="5" t="s">
        <x:v>212</x:v>
      </x:c>
      <x:c r="B69" s="5">
        <x:v>55</x:v>
      </x:c>
      <x:c r="C69" s="8" t="s">
        <x:v>344</x:v>
      </x:c>
      <x:c r="D69" s="8">
        <x:v>14</x:v>
      </x:c>
      <x:c r="E69" s="8" t="s">
        <x:v>72</x:v>
      </x:c>
      <x:c r="F69" s="8" t="s">
        <x:v>345</x:v>
      </x:c>
      <x:c r="G69" s="20" t="s">
        <x:v>17</x:v>
      </x:c>
      <x:c r="H69" s="8" t="s">
        <x:v>346</x:v>
      </x:c>
      <x:c r="I69" s="8" t="s">
        <x:v>47</x:v>
      </x:c>
      <x:c r="J69" s="5" t="s">
        <x:v>347</x:v>
      </x:c>
      <x:c r="K69" s="25" t="s">
        <x:v>59</x:v>
      </x:c>
      <x:c r="L69" s="5"/>
      <x:c r="M69" s="5"/>
    </x:row>
    <x:row r="70" ht="28">
      <x:c r="A70" s="5" t="s">
        <x:v>212</x:v>
      </x:c>
      <x:c r="B70" s="5">
        <x:v>56</x:v>
      </x:c>
      <x:c r="C70" s="8" t="s">
        <x:v>348</x:v>
      </x:c>
      <x:c r="D70" s="8">
        <x:v>12</x:v>
      </x:c>
      <x:c r="E70" s="8" t="s">
        <x:v>72</x:v>
      </x:c>
      <x:c r="F70" s="8" t="s">
        <x:v>349</x:v>
      </x:c>
      <x:c r="G70" s="20" t="s">
        <x:v>350</x:v>
      </x:c>
      <x:c r="H70" s="8" t="s">
        <x:v>351</x:v>
      </x:c>
      <x:c r="I70" s="8" t="s">
        <x:v>47</x:v>
      </x:c>
      <x:c r="J70" s="5" t="s">
        <x:v>352</x:v>
      </x:c>
      <x:c r="K70" s="25" t="s">
        <x:v>76</x:v>
      </x:c>
      <x:c r="L70" s="20" t="s">
        <x:v>353</x:v>
      </x:c>
      <x:c r="M70" s="5"/>
    </x:row>
    <x:row r="71" ht="42">
      <x:c r="A71" s="5" t="s">
        <x:v>212</x:v>
      </x:c>
      <x:c r="B71" s="5">
        <x:v>57</x:v>
      </x:c>
      <x:c r="C71" s="8" t="s">
        <x:v>354</x:v>
      </x:c>
      <x:c r="D71" s="8">
        <x:v>15</x:v>
      </x:c>
      <x:c r="E71" s="8" t="s">
        <x:v>72</x:v>
      </x:c>
      <x:c r="F71" s="8" t="s">
        <x:v>355</x:v>
      </x:c>
      <x:c r="G71" s="20" t="s">
        <x:v>356</x:v>
      </x:c>
      <x:c r="H71" s="8" t="s">
        <x:v>357</x:v>
      </x:c>
      <x:c r="I71" s="8" t="s">
        <x:v>144</x:v>
      </x:c>
      <x:c r="J71" s="5" t="s">
        <x:v>358</x:v>
      </x:c>
      <x:c r="K71" s="25" t="s">
        <x:v>76</x:v>
      </x:c>
      <x:c r="L71" s="20" t="s">
        <x:v>22</x:v>
      </x:c>
      <x:c r="M71" s="5"/>
    </x:row>
    <x:row r="72" ht="42">
      <x:c r="A72" s="5" t="s">
        <x:v>212</x:v>
      </x:c>
      <x:c r="B72" s="5">
        <x:v>58</x:v>
      </x:c>
      <x:c r="C72" s="8" t="s">
        <x:v>359</x:v>
      </x:c>
      <x:c r="D72" s="8">
        <x:v>7</x:v>
      </x:c>
      <x:c r="E72" s="8" t="s">
        <x:v>72</x:v>
      </x:c>
      <x:c r="F72" s="8" t="s">
        <x:v>360</x:v>
      </x:c>
      <x:c r="G72" s="20"/>
      <x:c r="H72" s="8"/>
      <x:c r="I72" s="8" t="s">
        <x:v>74</x:v>
      </x:c>
      <x:c r="J72" s="5" t="s">
        <x:v>361</x:v>
      </x:c>
      <x:c r="K72" s="25" t="s">
        <x:v>76</x:v>
      </x:c>
      <x:c r="L72" s="25" t="s">
        <x:v>324</x:v>
      </x:c>
      <x:c r="M72" s="5"/>
    </x:row>
    <x:row r="73" ht="42">
      <x:c r="A73" s="5" t="s">
        <x:v>212</x:v>
      </x:c>
      <x:c r="B73" s="5">
        <x:v>59</x:v>
      </x:c>
      <x:c r="C73" s="8" t="s">
        <x:v>298</x:v>
      </x:c>
      <x:c r="D73" s="8">
        <x:v>20</x:v>
      </x:c>
      <x:c r="E73" s="8" t="s">
        <x:v>43</x:v>
      </x:c>
      <x:c r="F73" s="8" t="s">
        <x:v>362</x:v>
      </x:c>
      <x:c r="G73" s="20" t="s">
        <x:v>363</x:v>
      </x:c>
      <x:c r="H73" s="8" t="s">
        <x:v>364</x:v>
      </x:c>
      <x:c r="I73" s="8" t="s">
        <x:v>47</x:v>
      </x:c>
      <x:c r="J73" s="5" t="s">
        <x:v>365</x:v>
      </x:c>
      <x:c r="K73" s="25" t="s">
        <x:v>76</x:v>
      </x:c>
      <x:c r="L73" s="20" t="s">
        <x:v>302</x:v>
      </x:c>
      <x:c r="M73" s="5"/>
    </x:row>
    <x:row r="74" ht="28">
      <x:c r="A74" s="5" t="s">
        <x:v>212</x:v>
      </x:c>
      <x:c r="B74" s="5">
        <x:v>60</x:v>
      </x:c>
      <x:c r="C74" s="8" t="s">
        <x:v>366</x:v>
      </x:c>
      <x:c r="D74" s="8">
        <x:v>21</x:v>
      </x:c>
      <x:c r="E74" s="8" t="s">
        <x:v>89</x:v>
      </x:c>
      <x:c r="F74" s="8" t="s">
        <x:v>367</x:v>
      </x:c>
      <x:c r="G74" s="20" t="s">
        <x:v>55</x:v>
      </x:c>
      <x:c r="H74" s="8" t="s">
        <x:v>368</x:v>
      </x:c>
      <x:c r="I74" s="8" t="s">
        <x:v>47</x:v>
      </x:c>
      <x:c r="J74" s="5" t="s">
        <x:v>369</x:v>
      </x:c>
      <x:c r="K74" s="25" t="s">
        <x:v>76</x:v>
      </x:c>
      <x:c r="L74" s="20" t="s">
        <x:v>370</x:v>
      </x:c>
      <x:c r="M74" s="5"/>
    </x:row>
    <x:row r="75" ht="28">
      <x:c r="A75" s="5" t="s">
        <x:v>212</x:v>
      </x:c>
      <x:c r="B75" s="5">
        <x:v>61</x:v>
      </x:c>
      <x:c r="C75" s="8" t="s">
        <x:v>371</x:v>
      </x:c>
      <x:c r="D75" s="8">
        <x:v>14</x:v>
      </x:c>
      <x:c r="E75" s="8" t="s">
        <x:v>72</x:v>
      </x:c>
      <x:c r="F75" s="8" t="s">
        <x:v>372</x:v>
      </x:c>
      <x:c r="G75" s="20" t="s">
        <x:v>229</x:v>
      </x:c>
      <x:c r="H75" s="8" t="s">
        <x:v>230</x:v>
      </x:c>
      <x:c r="I75" s="8" t="s">
        <x:v>47</x:v>
      </x:c>
      <x:c r="J75" s="5" t="s">
        <x:v>373</x:v>
      </x:c>
      <x:c r="K75" s="25" t="s">
        <x:v>76</x:v>
      </x:c>
      <x:c r="L75" s="25" t="s">
        <x:v>324</x:v>
      </x:c>
      <x:c r="M75" s="5"/>
    </x:row>
    <x:row r="76" ht="42">
      <x:c r="A76" s="5" t="s">
        <x:v>212</x:v>
      </x:c>
      <x:c r="B76" s="5">
        <x:v>62</x:v>
      </x:c>
      <x:c r="C76" s="8" t="s">
        <x:v>374</x:v>
      </x:c>
      <x:c r="D76" s="8">
        <x:v>15</x:v>
      </x:c>
      <x:c r="E76" s="8" t="s">
        <x:v>72</x:v>
      </x:c>
      <x:c r="F76" s="8" t="s">
        <x:v>375</x:v>
      </x:c>
      <x:c r="G76" s="20" t="s">
        <x:v>17</x:v>
      </x:c>
      <x:c r="H76" s="8" t="s">
        <x:v>376</x:v>
      </x:c>
      <x:c r="I76" s="8" t="s">
        <x:v>47</x:v>
      </x:c>
      <x:c r="J76" s="5" t="s">
        <x:v>377</x:v>
      </x:c>
      <x:c r="K76" s="25" t="s">
        <x:v>59</x:v>
      </x:c>
      <x:c r="L76" s="5"/>
      <x:c r="M76" s="5"/>
    </x:row>
    <x:row r="77" ht="70">
      <x:c r="A77" s="5" t="s">
        <x:v>212</x:v>
      </x:c>
      <x:c r="B77" s="5">
        <x:v>63</x:v>
      </x:c>
      <x:c r="C77" s="8" t="s">
        <x:v>378</x:v>
      </x:c>
      <x:c r="D77" s="8">
        <x:v>9</x:v>
      </x:c>
      <x:c r="E77" s="8" t="s">
        <x:v>43</x:v>
      </x:c>
      <x:c r="F77" s="8" t="s">
        <x:v>379</x:v>
      </x:c>
      <x:c r="G77" s="20" t="s">
        <x:v>286</x:v>
      </x:c>
      <x:c r="H77" s="8" t="s">
        <x:v>380</x:v>
      </x:c>
      <x:c r="I77" s="8" t="s">
        <x:v>47</x:v>
      </x:c>
      <x:c r="J77" s="5" t="s">
        <x:v>381</x:v>
      </x:c>
      <x:c r="K77" s="25" t="s">
        <x:v>76</x:v>
      </x:c>
      <x:c r="L77" s="25" t="s">
        <x:v>382</x:v>
      </x:c>
      <x:c r="M77" s="5"/>
    </x:row>
    <x:row r="78">
      <x:c r="A78" s="5" t="s">
        <x:v>212</x:v>
      </x:c>
      <x:c r="B78" s="5">
        <x:v>64</x:v>
      </x:c>
      <x:c r="C78" s="8" t="s">
        <x:v>383</x:v>
      </x:c>
      <x:c r="D78" s="8">
        <x:v>17</x:v>
      </x:c>
      <x:c r="E78" s="8" t="s">
        <x:v>72</x:v>
      </x:c>
      <x:c r="F78" s="8" t="s">
        <x:v>384</x:v>
      </x:c>
      <x:c r="G78" s="20" t="s">
        <x:v>197</x:v>
      </x:c>
      <x:c r="H78" s="8" t="s">
        <x:v>385</x:v>
      </x:c>
      <x:c r="I78" s="8" t="s">
        <x:v>47</x:v>
      </x:c>
      <x:c r="J78" s="5" t="s">
        <x:v>386</x:v>
      </x:c>
      <x:c r="K78" s="25" t="s">
        <x:v>59</x:v>
      </x:c>
      <x:c r="L78" s="5"/>
      <x:c r="M78" s="5"/>
    </x:row>
    <x:row r="79" ht="84">
      <x:c r="A79" s="5" t="s">
        <x:v>212</x:v>
      </x:c>
      <x:c r="B79" s="5">
        <x:v>65</x:v>
      </x:c>
      <x:c r="C79" s="8" t="s">
        <x:v>387</x:v>
      </x:c>
      <x:c r="D79" s="8">
        <x:v>11</x:v>
      </x:c>
      <x:c r="E79" s="8" t="s">
        <x:v>72</x:v>
      </x:c>
      <x:c r="F79" s="8" t="s">
        <x:v>388</x:v>
      </x:c>
      <x:c r="G79" s="20" t="s">
        <x:v>197</x:v>
      </x:c>
      <x:c r="H79" s="8" t="s">
        <x:v>389</x:v>
      </x:c>
      <x:c r="I79" s="8" t="s">
        <x:v>47</x:v>
      </x:c>
      <x:c r="J79" s="5" t="s">
        <x:v>390</x:v>
      </x:c>
      <x:c r="K79" s="25" t="s">
        <x:v>59</x:v>
      </x:c>
      <x:c r="L79" s="5"/>
      <x:c r="M79" s="5"/>
    </x:row>
    <x:row r="80" ht="56">
      <x:c r="A80" s="5" t="s">
        <x:v>212</x:v>
      </x:c>
      <x:c r="B80" s="5">
        <x:v>66</x:v>
      </x:c>
      <x:c r="C80" s="8" t="s">
        <x:v>391</x:v>
      </x:c>
      <x:c r="D80" s="8">
        <x:v>20</x:v>
      </x:c>
      <x:c r="E80" s="8" t="s">
        <x:v>43</x:v>
      </x:c>
      <x:c r="F80" s="8" t="s">
        <x:v>392</x:v>
      </x:c>
      <x:c r="G80" s="20" t="s">
        <x:v>142</x:v>
      </x:c>
      <x:c r="H80" s="8" t="s">
        <x:v>393</x:v>
      </x:c>
      <x:c r="I80" s="8" t="s">
        <x:v>144</x:v>
      </x:c>
      <x:c r="J80" s="5" t="s">
        <x:v>394</x:v>
      </x:c>
      <x:c r="K80" s="25" t="s">
        <x:v>76</x:v>
      </x:c>
      <x:c r="L80" s="5" t="s">
        <x:v>395</x:v>
      </x:c>
      <x:c r="M80" s="5"/>
    </x:row>
    <x:row r="81" ht="42">
      <x:c r="A81" s="5" t="s">
        <x:v>212</x:v>
      </x:c>
      <x:c r="B81" s="5">
        <x:v>67</x:v>
      </x:c>
      <x:c r="C81" s="8" t="s">
        <x:v>396</x:v>
      </x:c>
      <x:c r="D81" s="8">
        <x:v>22</x:v>
      </x:c>
      <x:c r="E81" s="8" t="s">
        <x:v>72</x:v>
      </x:c>
      <x:c r="F81" s="8" t="s">
        <x:v>397</x:v>
      </x:c>
      <x:c r="G81" s="20" t="s">
        <x:v>55</x:v>
      </x:c>
      <x:c r="H81" s="8" t="s">
        <x:v>398</x:v>
      </x:c>
      <x:c r="I81" s="8" t="s">
        <x:v>399</x:v>
      </x:c>
      <x:c r="J81" s="5" t="s">
        <x:v>400</x:v>
      </x:c>
      <x:c r="K81" s="25" t="s">
        <x:v>76</x:v>
      </x:c>
      <x:c r="L81" s="20" t="s">
        <x:v>401</x:v>
      </x:c>
      <x:c r="M81" s="5"/>
    </x:row>
    <x:row r="82" ht="42">
      <x:c r="A82" s="5" t="s">
        <x:v>212</x:v>
      </x:c>
      <x:c r="B82" s="5">
        <x:v>68</x:v>
      </x:c>
      <x:c r="C82" s="8" t="s">
        <x:v>402</x:v>
      </x:c>
      <x:c r="D82" s="8">
        <x:v>13</x:v>
      </x:c>
      <x:c r="E82" s="8" t="s">
        <x:v>72</x:v>
      </x:c>
      <x:c r="F82" s="8" t="s">
        <x:v>403</x:v>
      </x:c>
      <x:c r="G82" s="20" t="s">
        <x:v>197</x:v>
      </x:c>
      <x:c r="H82" s="8" t="s">
        <x:v>404</x:v>
      </x:c>
      <x:c r="I82" s="8" t="s">
        <x:v>47</x:v>
      </x:c>
      <x:c r="J82" s="5" t="s">
        <x:v>405</x:v>
      </x:c>
      <x:c r="K82" s="25" t="s">
        <x:v>59</x:v>
      </x:c>
      <x:c r="L82" s="5"/>
      <x:c r="M82" s="5"/>
    </x:row>
    <x:row r="83" ht="42">
      <x:c r="A83" s="5" t="s">
        <x:v>212</x:v>
      </x:c>
      <x:c r="B83" s="5">
        <x:v>69</x:v>
      </x:c>
      <x:c r="C83" s="8" t="s">
        <x:v>406</x:v>
      </x:c>
      <x:c r="D83" s="8">
        <x:v>15</x:v>
      </x:c>
      <x:c r="E83" s="8" t="s">
        <x:v>72</x:v>
      </x:c>
      <x:c r="F83" s="8" t="s">
        <x:v>407</x:v>
      </x:c>
      <x:c r="G83" s="20" t="s">
        <x:v>408</x:v>
      </x:c>
      <x:c r="H83" s="8" t="s">
        <x:v>409</x:v>
      </x:c>
      <x:c r="I83" s="8" t="s">
        <x:v>144</x:v>
      </x:c>
      <x:c r="J83" s="5" t="s">
        <x:v>410</x:v>
      </x:c>
      <x:c r="K83" s="25" t="s">
        <x:v>76</x:v>
      </x:c>
      <x:c r="L83" s="5" t="s">
        <x:v>411</x:v>
      </x:c>
      <x:c r="M83" s="5"/>
    </x:row>
    <x:row r="84">
      <x:c r="A84" s="5" t="s">
        <x:v>212</x:v>
      </x:c>
      <x:c r="B84" s="5">
        <x:v>70</x:v>
      </x:c>
      <x:c r="C84" s="8" t="s">
        <x:v>412</x:v>
      </x:c>
      <x:c r="D84" s="8">
        <x:v>6</x:v>
      </x:c>
      <x:c r="E84" s="8" t="s">
        <x:v>72</x:v>
      </x:c>
      <x:c r="F84" s="8" t="s">
        <x:v>413</x:v>
      </x:c>
      <x:c r="G84" s="20"/>
      <x:c r="H84" s="8"/>
      <x:c r="I84" s="8" t="s">
        <x:v>74</x:v>
      </x:c>
      <x:c r="J84" s="5" t="s">
        <x:v>414</x:v>
      </x:c>
      <x:c r="K84" s="25" t="s">
        <x:v>76</x:v>
      </x:c>
      <x:c r="L84" s="25" t="s">
        <x:v>324</x:v>
      </x:c>
      <x:c r="M84" s="5"/>
    </x:row>
    <x:row r="85" ht="42">
      <x:c r="A85" s="5" t="s">
        <x:v>212</x:v>
      </x:c>
      <x:c r="B85" s="5">
        <x:v>71</x:v>
      </x:c>
      <x:c r="C85" s="8" t="s">
        <x:v>415</x:v>
      </x:c>
      <x:c r="D85" s="8">
        <x:v>15</x:v>
      </x:c>
      <x:c r="E85" s="8" t="s">
        <x:v>72</x:v>
      </x:c>
      <x:c r="F85" s="8" t="s">
        <x:v>416</x:v>
      </x:c>
      <x:c r="G85" s="20" t="s">
        <x:v>21</x:v>
      </x:c>
      <x:c r="H85" s="8" t="s">
        <x:v>215</x:v>
      </x:c>
      <x:c r="I85" s="8" t="s">
        <x:v>47</x:v>
      </x:c>
      <x:c r="J85" s="5" t="s">
        <x:v>417</x:v>
      </x:c>
      <x:c r="K85" s="25" t="s">
        <x:v>76</x:v>
      </x:c>
      <x:c r="L85" s="25" t="s">
        <x:v>324</x:v>
      </x:c>
      <x:c r="M85" s="5"/>
    </x:row>
    <x:row r="86" ht="28">
      <x:c r="A86" s="5" t="s">
        <x:v>212</x:v>
      </x:c>
      <x:c r="B86" s="5">
        <x:v>72</x:v>
      </x:c>
      <x:c r="C86" s="8" t="s">
        <x:v>263</x:v>
      </x:c>
      <x:c r="D86" s="8">
        <x:v>11</x:v>
      </x:c>
      <x:c r="E86" s="8" t="s">
        <x:v>89</x:v>
      </x:c>
      <x:c r="F86" s="8" t="s">
        <x:v>418</x:v>
      </x:c>
      <x:c r="G86" s="20"/>
      <x:c r="H86" s="8"/>
      <x:c r="I86" s="8" t="s">
        <x:v>74</x:v>
      </x:c>
      <x:c r="J86" s="5" t="s">
        <x:v>419</x:v>
      </x:c>
      <x:c r="K86" s="25" t="s">
        <x:v>76</x:v>
      </x:c>
      <x:c r="L86" s="25" t="s">
        <x:v>324</x:v>
      </x:c>
      <x:c r="M86" s="5"/>
    </x:row>
    <x:row r="87" ht="42">
      <x:c r="A87" s="5" t="s">
        <x:v>212</x:v>
      </x:c>
      <x:c r="B87" s="5">
        <x:v>73</x:v>
      </x:c>
      <x:c r="C87" s="8" t="s">
        <x:v>420</x:v>
      </x:c>
      <x:c r="D87" s="8">
        <x:v>21</x:v>
      </x:c>
      <x:c r="E87" s="8" t="s">
        <x:v>72</x:v>
      </x:c>
      <x:c r="F87" s="8" t="s">
        <x:v>421</x:v>
      </x:c>
      <x:c r="G87" s="20" t="s">
        <x:v>117</x:v>
      </x:c>
      <x:c r="H87" s="8" t="s">
        <x:v>422</x:v>
      </x:c>
      <x:c r="I87" s="8" t="s">
        <x:v>47</x:v>
      </x:c>
      <x:c r="J87" s="5" t="s">
        <x:v>423</x:v>
      </x:c>
      <x:c r="K87" s="25" t="s">
        <x:v>76</x:v>
      </x:c>
      <x:c r="L87" s="5" t="s">
        <x:v>424</x:v>
      </x:c>
      <x:c r="M87" s="5"/>
    </x:row>
    <x:row r="88" ht="42">
      <x:c r="A88" s="5" t="s">
        <x:v>212</x:v>
      </x:c>
      <x:c r="B88" s="5">
        <x:v>74</x:v>
      </x:c>
      <x:c r="C88" s="8" t="s">
        <x:v>425</x:v>
      </x:c>
      <x:c r="D88" s="8">
        <x:v>24</x:v>
      </x:c>
      <x:c r="E88" s="8" t="s">
        <x:v>72</x:v>
      </x:c>
      <x:c r="F88" s="8" t="s">
        <x:v>426</x:v>
      </x:c>
      <x:c r="G88" s="20" t="s">
        <x:v>408</x:v>
      </x:c>
      <x:c r="H88" s="8" t="s">
        <x:v>427</x:v>
      </x:c>
      <x:c r="I88" s="8" t="s">
        <x:v>57</x:v>
      </x:c>
      <x:c r="J88" s="5" t="s">
        <x:v>428</x:v>
      </x:c>
      <x:c r="K88" s="25" t="s">
        <x:v>76</x:v>
      </x:c>
      <x:c r="L88" s="5" t="s">
        <x:v>276</x:v>
      </x:c>
      <x:c r="M88" s="5"/>
    </x:row>
    <x:row r="89" ht="28">
      <x:c r="A89" s="5" t="s">
        <x:v>212</x:v>
      </x:c>
      <x:c r="B89" s="5">
        <x:v>75</x:v>
      </x:c>
      <x:c r="C89" s="8" t="s">
        <x:v>429</x:v>
      </x:c>
      <x:c r="D89" s="8">
        <x:v>15</x:v>
      </x:c>
      <x:c r="E89" s="8" t="s">
        <x:v>72</x:v>
      </x:c>
      <x:c r="F89" s="8" t="s">
        <x:v>430</x:v>
      </x:c>
      <x:c r="G89" s="20" t="s">
        <x:v>229</x:v>
      </x:c>
      <x:c r="H89" s="8" t="s">
        <x:v>230</x:v>
      </x:c>
      <x:c r="I89" s="8" t="s">
        <x:v>47</x:v>
      </x:c>
      <x:c r="J89" s="5" t="s">
        <x:v>431</x:v>
      </x:c>
      <x:c r="K89" s="25" t="s">
        <x:v>76</x:v>
      </x:c>
      <x:c r="L89" s="25" t="s">
        <x:v>324</x:v>
      </x:c>
      <x:c r="M89" s="5"/>
    </x:row>
    <x:row r="90" ht="28">
      <x:c r="A90" s="5" t="s">
        <x:v>212</x:v>
      </x:c>
      <x:c r="B90" s="5">
        <x:v>76</x:v>
      </x:c>
      <x:c r="C90" s="8" t="s">
        <x:v>432</x:v>
      </x:c>
      <x:c r="D90" s="8">
        <x:v>13</x:v>
      </x:c>
      <x:c r="E90" s="8" t="s">
        <x:v>53</x:v>
      </x:c>
      <x:c r="F90" s="8" t="s">
        <x:v>433</x:v>
      </x:c>
      <x:c r="G90" s="20" t="s">
        <x:v>434</x:v>
      </x:c>
      <x:c r="H90" s="8" t="s">
        <x:v>435</x:v>
      </x:c>
      <x:c r="I90" s="8" t="s">
        <x:v>47</x:v>
      </x:c>
      <x:c r="J90" s="5" t="s">
        <x:v>436</x:v>
      </x:c>
      <x:c r="K90" s="25" t="s">
        <x:v>59</x:v>
      </x:c>
      <x:c r="L90" s="5"/>
      <x:c r="M90" s="5"/>
    </x:row>
    <x:row r="91" ht="28">
      <x:c r="A91" s="5" t="s">
        <x:v>212</x:v>
      </x:c>
      <x:c r="B91" s="5">
        <x:v>77</x:v>
      </x:c>
      <x:c r="C91" s="8" t="s">
        <x:v>437</x:v>
      </x:c>
      <x:c r="D91" s="8">
        <x:v>9</x:v>
      </x:c>
      <x:c r="E91" s="8" t="s">
        <x:v>43</x:v>
      </x:c>
      <x:c r="F91" s="8" t="s">
        <x:v>438</x:v>
      </x:c>
      <x:c r="G91" s="20" t="s">
        <x:v>286</x:v>
      </x:c>
      <x:c r="H91" s="8" t="s">
        <x:v>439</x:v>
      </x:c>
      <x:c r="I91" s="8" t="s">
        <x:v>47</x:v>
      </x:c>
      <x:c r="J91" s="5" t="s">
        <x:v>440</x:v>
      </x:c>
      <x:c r="K91" s="25" t="s">
        <x:v>76</x:v>
      </x:c>
      <x:c r="L91" s="5" t="s">
        <x:v>22</x:v>
      </x:c>
      <x:c r="M91" s="5"/>
    </x:row>
    <x:row r="92" ht="70">
      <x:c r="A92" s="5" t="s">
        <x:v>212</x:v>
      </x:c>
      <x:c r="B92" s="5">
        <x:v>78</x:v>
      </x:c>
      <x:c r="C92" s="8" t="s">
        <x:v>441</x:v>
      </x:c>
      <x:c r="D92" s="8">
        <x:v>17</x:v>
      </x:c>
      <x:c r="E92" s="8" t="s">
        <x:v>104</x:v>
      </x:c>
      <x:c r="F92" s="8" t="s">
        <x:v>442</x:v>
      </x:c>
      <x:c r="G92" s="20" t="s">
        <x:v>117</x:v>
      </x:c>
      <x:c r="H92" s="8" t="s">
        <x:v>443</x:v>
      </x:c>
      <x:c r="I92" s="8" t="s">
        <x:v>57</x:v>
      </x:c>
      <x:c r="J92" s="5" t="s">
        <x:v>444</x:v>
      </x:c>
      <x:c r="K92" s="25" t="s">
        <x:v>59</x:v>
      </x:c>
      <x:c r="L92" s="5"/>
      <x:c r="M92" s="5"/>
    </x:row>
    <x:row r="93" ht="56">
      <x:c r="A93" s="5" t="s">
        <x:v>212</x:v>
      </x:c>
      <x:c r="B93" s="5">
        <x:v>79</x:v>
      </x:c>
      <x:c r="C93" s="8" t="s">
        <x:v>445</x:v>
      </x:c>
      <x:c r="D93" s="8">
        <x:v>10</x:v>
      </x:c>
      <x:c r="E93" s="8" t="s">
        <x:v>72</x:v>
      </x:c>
      <x:c r="F93" s="8" t="s">
        <x:v>446</x:v>
      </x:c>
      <x:c r="G93" s="20" t="s">
        <x:v>194</x:v>
      </x:c>
      <x:c r="H93" s="8" t="s">
        <x:v>447</x:v>
      </x:c>
      <x:c r="I93" s="8" t="s">
        <x:v>144</x:v>
      </x:c>
      <x:c r="J93" s="5" t="s">
        <x:v>448</x:v>
      </x:c>
      <x:c r="K93" s="25" t="s">
        <x:v>76</x:v>
      </x:c>
      <x:c r="L93" s="5" t="s">
        <x:v>229</x:v>
      </x:c>
      <x:c r="M93" s="5"/>
    </x:row>
    <x:row r="94" ht="182">
      <x:c r="A94" s="5" t="s">
        <x:v>212</x:v>
      </x:c>
      <x:c r="B94" s="5">
        <x:v>80</x:v>
      </x:c>
      <x:c r="C94" s="8" t="s">
        <x:v>449</x:v>
      </x:c>
      <x:c r="D94" s="8">
        <x:v>23</x:v>
      </x:c>
      <x:c r="E94" s="8" t="s">
        <x:v>104</x:v>
      </x:c>
      <x:c r="F94" s="8" t="s">
        <x:v>450</x:v>
      </x:c>
      <x:c r="G94" s="20" t="s">
        <x:v>451</x:v>
      </x:c>
      <x:c r="H94" s="8" t="s">
        <x:v>452</x:v>
      </x:c>
      <x:c r="I94" s="8" t="s">
        <x:v>144</x:v>
      </x:c>
      <x:c r="J94" s="5" t="s">
        <x:v>453</x:v>
      </x:c>
      <x:c r="K94" s="25" t="s">
        <x:v>76</x:v>
      </x:c>
      <x:c r="L94" s="20" t="s">
        <x:v>454</x:v>
      </x:c>
      <x:c r="M94" s="5"/>
    </x:row>
    <x:row r="95" ht="84">
      <x:c r="A95" s="5" t="s">
        <x:v>212</x:v>
      </x:c>
      <x:c r="B95" s="5">
        <x:v>81</x:v>
      </x:c>
      <x:c r="C95" s="8" t="s">
        <x:v>455</x:v>
      </x:c>
      <x:c r="D95" s="8">
        <x:v>25</x:v>
      </x:c>
      <x:c r="E95" s="8" t="s">
        <x:v>89</x:v>
      </x:c>
      <x:c r="F95" s="8" t="s">
        <x:v>456</x:v>
      </x:c>
      <x:c r="G95" s="20" t="s">
        <x:v>434</x:v>
      </x:c>
      <x:c r="H95" s="8" t="s">
        <x:v>457</x:v>
      </x:c>
      <x:c r="I95" s="8" t="s">
        <x:v>85</x:v>
      </x:c>
      <x:c r="J95" s="5" t="s">
        <x:v>458</x:v>
      </x:c>
      <x:c r="K95" s="25" t="s">
        <x:v>59</x:v>
      </x:c>
      <x:c r="L95" s="5"/>
      <x:c r="M95" s="5"/>
    </x:row>
    <x:row r="96" ht="28">
      <x:c r="A96" s="5" t="s">
        <x:v>212</x:v>
      </x:c>
      <x:c r="B96" s="5">
        <x:v>93</x:v>
      </x:c>
      <x:c r="C96" s="8" t="s">
        <x:v>459</x:v>
      </x:c>
      <x:c r="D96" s="8">
        <x:v>10</x:v>
      </x:c>
      <x:c r="E96" s="8" t="s">
        <x:v>72</x:v>
      </x:c>
      <x:c r="F96" s="8" t="s">
        <x:v>460</x:v>
      </x:c>
      <x:c r="G96" s="20" t="s">
        <x:v>21</x:v>
      </x:c>
      <x:c r="H96" s="8" t="s">
        <x:v>461</x:v>
      </x:c>
      <x:c r="I96" s="8" t="s">
        <x:v>47</x:v>
      </x:c>
      <x:c r="J96" s="5" t="s">
        <x:v>462</x:v>
      </x:c>
      <x:c r="K96" s="25" t="s">
        <x:v>76</x:v>
      </x:c>
      <x:c r="L96" s="5" t="s">
        <x:v>463</x:v>
      </x:c>
      <x:c r="M96" s="5"/>
    </x:row>
    <x:row r="97" ht="42">
      <x:c r="A97" s="5" t="s">
        <x:v>212</x:v>
      </x:c>
      <x:c r="B97" s="5">
        <x:v>94</x:v>
      </x:c>
      <x:c r="C97" s="8" t="s">
        <x:v>464</x:v>
      </x:c>
      <x:c r="D97" s="8">
        <x:v>19</x:v>
      </x:c>
      <x:c r="E97" s="8" t="s">
        <x:v>53</x:v>
      </x:c>
      <x:c r="F97" s="8" t="s">
        <x:v>465</x:v>
      </x:c>
      <x:c r="G97" s="20" t="s">
        <x:v>17</x:v>
      </x:c>
      <x:c r="H97" s="8" t="s">
        <x:v>466</x:v>
      </x:c>
      <x:c r="I97" s="8" t="s">
        <x:v>47</x:v>
      </x:c>
      <x:c r="J97" s="5" t="s">
        <x:v>467</x:v>
      </x:c>
      <x:c r="K97" s="25" t="s">
        <x:v>59</x:v>
      </x:c>
      <x:c r="L97" s="5"/>
      <x:c r="M97" s="5"/>
    </x:row>
    <x:row r="98" ht="28">
      <x:c r="A98" s="5" t="s">
        <x:v>212</x:v>
      </x:c>
      <x:c r="B98" s="5">
        <x:v>95</x:v>
      </x:c>
      <x:c r="C98" s="8" t="s">
        <x:v>468</x:v>
      </x:c>
      <x:c r="D98" s="8">
        <x:v>9</x:v>
      </x:c>
      <x:c r="E98" s="8" t="s">
        <x:v>72</x:v>
      </x:c>
      <x:c r="F98" s="8" t="s">
        <x:v>469</x:v>
      </x:c>
      <x:c r="G98" s="20" t="s">
        <x:v>286</x:v>
      </x:c>
      <x:c r="H98" s="8" t="s">
        <x:v>470</x:v>
      </x:c>
      <x:c r="I98" s="8" t="s">
        <x:v>47</x:v>
      </x:c>
      <x:c r="J98" s="5" t="s">
        <x:v>471</x:v>
      </x:c>
      <x:c r="K98" s="25" t="s">
        <x:v>76</x:v>
      </x:c>
      <x:c r="L98" s="5" t="s">
        <x:v>22</x:v>
      </x:c>
      <x:c r="M98" s="5"/>
    </x:row>
    <x:row r="99" ht="42">
      <x:c r="A99" s="5" t="s">
        <x:v>212</x:v>
      </x:c>
      <x:c r="B99" s="5">
        <x:v>96</x:v>
      </x:c>
      <x:c r="C99" s="8" t="s">
        <x:v>371</x:v>
      </x:c>
      <x:c r="D99" s="8">
        <x:v>14</x:v>
      </x:c>
      <x:c r="E99" s="8" t="s">
        <x:v>72</x:v>
      </x:c>
      <x:c r="F99" s="8" t="s">
        <x:v>472</x:v>
      </x:c>
      <x:c r="G99" s="20" t="s">
        <x:v>229</x:v>
      </x:c>
      <x:c r="H99" s="8" t="s">
        <x:v>230</x:v>
      </x:c>
      <x:c r="I99" s="8" t="s">
        <x:v>47</x:v>
      </x:c>
      <x:c r="J99" s="5" t="s">
        <x:v>473</x:v>
      </x:c>
      <x:c r="K99" s="25" t="s">
        <x:v>76</x:v>
      </x:c>
      <x:c r="L99" s="5" t="s">
        <x:v>463</x:v>
      </x:c>
      <x:c r="M99" s="5"/>
    </x:row>
    <x:row r="100" ht="28">
      <x:c r="A100" s="5" t="s">
        <x:v>212</x:v>
      </x:c>
      <x:c r="B100" s="5">
        <x:v>97</x:v>
      </x:c>
      <x:c r="C100" s="8" t="s">
        <x:v>474</x:v>
      </x:c>
      <x:c r="D100" s="8">
        <x:v>16</x:v>
      </x:c>
      <x:c r="E100" s="8" t="s">
        <x:v>53</x:v>
      </x:c>
      <x:c r="F100" s="8" t="s">
        <x:v>475</x:v>
      </x:c>
      <x:c r="G100" s="20" t="s">
        <x:v>55</x:v>
      </x:c>
      <x:c r="H100" s="8" t="s">
        <x:v>476</x:v>
      </x:c>
      <x:c r="I100" s="8" t="s">
        <x:v>47</x:v>
      </x:c>
      <x:c r="J100" s="5" t="s">
        <x:v>477</x:v>
      </x:c>
      <x:c r="K100" s="25" t="s">
        <x:v>76</x:v>
      </x:c>
      <x:c r="L100" s="20" t="s">
        <x:v>478</x:v>
      </x:c>
      <x:c r="M100" s="5"/>
    </x:row>
    <x:row r="101" ht="238">
      <x:c r="A101" s="5" t="s">
        <x:v>212</x:v>
      </x:c>
      <x:c r="B101" s="5">
        <x:v>98</x:v>
      </x:c>
      <x:c r="C101" s="8" t="s">
        <x:v>479</x:v>
      </x:c>
      <x:c r="D101" s="8">
        <x:v>26</x:v>
      </x:c>
      <x:c r="E101" s="8" t="s">
        <x:v>43</x:v>
      </x:c>
      <x:c r="F101" s="8" t="s">
        <x:v>480</x:v>
      </x:c>
      <x:c r="G101" s="20" t="s">
        <x:v>481</x:v>
      </x:c>
      <x:c r="H101" s="8" t="s">
        <x:v>482</x:v>
      </x:c>
      <x:c r="I101" s="8" t="s">
        <x:v>85</x:v>
      </x:c>
      <x:c r="J101" s="5" t="s">
        <x:v>483</x:v>
      </x:c>
      <x:c r="K101" s="25" t="s">
        <x:v>76</x:v>
      </x:c>
      <x:c r="L101" s="5" t="s">
        <x:v>22</x:v>
      </x:c>
      <x:c r="M101" s="5"/>
    </x:row>
    <x:row r="102" ht="56">
      <x:c r="A102" s="5" t="s">
        <x:v>212</x:v>
      </x:c>
      <x:c r="B102" s="5">
        <x:v>99</x:v>
      </x:c>
      <x:c r="C102" s="8" t="s">
        <x:v>484</x:v>
      </x:c>
      <x:c r="D102" s="8">
        <x:v>22</x:v>
      </x:c>
      <x:c r="E102" s="8" t="s">
        <x:v>89</x:v>
      </x:c>
      <x:c r="F102" s="8" t="s">
        <x:v>485</x:v>
      </x:c>
      <x:c r="G102" s="20" t="s">
        <x:v>336</x:v>
      </x:c>
      <x:c r="H102" s="8" t="s">
        <x:v>486</x:v>
      </x:c>
      <x:c r="I102" s="8" t="s">
        <x:v>47</x:v>
      </x:c>
      <x:c r="J102" s="5" t="s">
        <x:v>487</x:v>
      </x:c>
      <x:c r="K102" s="25" t="s">
        <x:v>76</x:v>
      </x:c>
      <x:c r="L102" s="20" t="s">
        <x:v>488</x:v>
      </x:c>
      <x:c r="M102" s="5"/>
    </x:row>
    <x:row r="103" ht="28">
      <x:c r="A103" s="5" t="s">
        <x:v>212</x:v>
      </x:c>
      <x:c r="B103" s="5">
        <x:v>100</x:v>
      </x:c>
      <x:c r="C103" s="8" t="s">
        <x:v>489</x:v>
      </x:c>
      <x:c r="D103" s="8">
        <x:v>12</x:v>
      </x:c>
      <x:c r="E103" s="8" t="s">
        <x:v>72</x:v>
      </x:c>
      <x:c r="F103" s="8" t="s">
        <x:v>490</x:v>
      </x:c>
      <x:c r="G103" s="20" t="s">
        <x:v>229</x:v>
      </x:c>
      <x:c r="H103" s="8" t="s">
        <x:v>230</x:v>
      </x:c>
      <x:c r="I103" s="8" t="s">
        <x:v>47</x:v>
      </x:c>
      <x:c r="J103" s="5" t="s">
        <x:v>491</x:v>
      </x:c>
      <x:c r="K103" s="25" t="s">
        <x:v>76</x:v>
      </x:c>
      <x:c r="L103" s="5" t="s">
        <x:v>463</x:v>
      </x:c>
      <x:c r="M103" s="5"/>
    </x:row>
    <x:row r="104" ht="42">
      <x:c r="A104" s="5" t="s">
        <x:v>212</x:v>
      </x:c>
      <x:c r="B104" s="5">
        <x:v>101</x:v>
      </x:c>
      <x:c r="C104" s="8" t="s">
        <x:v>492</x:v>
      </x:c>
      <x:c r="D104" s="8">
        <x:v>16</x:v>
      </x:c>
      <x:c r="E104" s="8" t="s">
        <x:v>89</x:v>
      </x:c>
      <x:c r="F104" s="8" t="s">
        <x:v>493</x:v>
      </x:c>
      <x:c r="G104" s="20" t="s">
        <x:v>494</x:v>
      </x:c>
      <x:c r="H104" s="8" t="s">
        <x:v>495</x:v>
      </x:c>
      <x:c r="I104" s="8" t="s">
        <x:v>144</x:v>
      </x:c>
      <x:c r="J104" s="5" t="s">
        <x:v>496</x:v>
      </x:c>
      <x:c r="K104" s="25" t="s">
        <x:v>76</x:v>
      </x:c>
      <x:c r="L104" s="5" t="s">
        <x:v>17</x:v>
      </x:c>
      <x:c r="M104" s="5"/>
    </x:row>
    <x:row r="105" ht="28">
      <x:c r="A105" s="5" t="s">
        <x:v>212</x:v>
      </x:c>
      <x:c r="B105" s="5">
        <x:v>102</x:v>
      </x:c>
      <x:c r="C105" s="8" t="s">
        <x:v>497</x:v>
      </x:c>
      <x:c r="D105" s="8">
        <x:v>7</x:v>
      </x:c>
      <x:c r="E105" s="8" t="s">
        <x:v>43</x:v>
      </x:c>
      <x:c r="F105" s="8" t="s">
        <x:v>498</x:v>
      </x:c>
      <x:c r="G105" s="20" t="s">
        <x:v>499</x:v>
      </x:c>
      <x:c r="H105" s="8" t="s">
        <x:v>500</x:v>
      </x:c>
      <x:c r="I105" s="8" t="s">
        <x:v>85</x:v>
      </x:c>
      <x:c r="J105" s="5" t="s">
        <x:v>501</x:v>
      </x:c>
      <x:c r="K105" s="25" t="s">
        <x:v>59</x:v>
      </x:c>
      <x:c r="L105" s="5"/>
      <x:c r="M105" s="5"/>
    </x:row>
    <x:row r="106" ht="28">
      <x:c r="A106" s="5" t="s">
        <x:v>212</x:v>
      </x:c>
      <x:c r="B106" s="5">
        <x:v>103</x:v>
      </x:c>
      <x:c r="C106" s="8" t="s">
        <x:v>502</x:v>
      </x:c>
      <x:c r="D106" s="8">
        <x:v>17</x:v>
      </x:c>
      <x:c r="E106" s="8" t="s">
        <x:v>72</x:v>
      </x:c>
      <x:c r="F106" s="8" t="s">
        <x:v>503</x:v>
      </x:c>
      <x:c r="G106" s="20"/>
      <x:c r="H106" s="8"/>
      <x:c r="I106" s="8" t="s">
        <x:v>74</x:v>
      </x:c>
      <x:c r="J106" s="5" t="s">
        <x:v>504</x:v>
      </x:c>
      <x:c r="K106" s="25" t="s">
        <x:v>76</x:v>
      </x:c>
      <x:c r="L106" s="5" t="s">
        <x:v>505</x:v>
      </x:c>
      <x:c r="M106" s="5"/>
    </x:row>
    <x:row r="107" ht="42">
      <x:c r="A107" s="5" t="s">
        <x:v>212</x:v>
      </x:c>
      <x:c r="B107" s="5">
        <x:v>104</x:v>
      </x:c>
      <x:c r="C107" s="8" t="s">
        <x:v>506</x:v>
      </x:c>
      <x:c r="D107" s="8">
        <x:v>5</x:v>
      </x:c>
      <x:c r="E107" s="8" t="s">
        <x:v>72</x:v>
      </x:c>
      <x:c r="F107" s="8" t="s">
        <x:v>507</x:v>
      </x:c>
      <x:c r="G107" s="20" t="s">
        <x:v>229</x:v>
      </x:c>
      <x:c r="H107" s="8" t="s">
        <x:v>230</x:v>
      </x:c>
      <x:c r="I107" s="8" t="s">
        <x:v>47</x:v>
      </x:c>
      <x:c r="J107" s="5" t="s">
        <x:v>508</x:v>
      </x:c>
      <x:c r="K107" s="25" t="s">
        <x:v>76</x:v>
      </x:c>
      <x:c r="L107" s="5" t="s">
        <x:v>463</x:v>
      </x:c>
      <x:c r="M107" s="5"/>
    </x:row>
    <x:row r="108" ht="56">
      <x:c r="A108" s="5" t="s">
        <x:v>212</x:v>
      </x:c>
      <x:c r="B108" s="5">
        <x:v>105</x:v>
      </x:c>
      <x:c r="C108" s="8" t="s">
        <x:v>509</x:v>
      </x:c>
      <x:c r="D108" s="8">
        <x:v>21</x:v>
      </x:c>
      <x:c r="E108" s="8" t="s">
        <x:v>43</x:v>
      </x:c>
      <x:c r="F108" s="8" t="s">
        <x:v>510</x:v>
      </x:c>
      <x:c r="G108" s="20" t="s">
        <x:v>511</x:v>
      </x:c>
      <x:c r="H108" s="8" t="s">
        <x:v>512</x:v>
      </x:c>
      <x:c r="I108" s="8" t="s">
        <x:v>85</x:v>
      </x:c>
      <x:c r="J108" s="5" t="s">
        <x:v>513</x:v>
      </x:c>
      <x:c r="K108" s="25" t="s">
        <x:v>59</x:v>
      </x:c>
      <x:c r="L108" s="5"/>
      <x:c r="M108" s="5"/>
    </x:row>
    <x:row r="109" ht="70">
      <x:c r="A109" s="6" t="s">
        <x:v>212</x:v>
      </x:c>
      <x:c r="B109" s="6">
        <x:v>106</x:v>
      </x:c>
      <x:c r="C109" s="9" t="s">
        <x:v>514</x:v>
      </x:c>
      <x:c r="D109" s="9">
        <x:v>20</x:v>
      </x:c>
      <x:c r="E109" s="9" t="s">
        <x:v>72</x:v>
      </x:c>
      <x:c r="F109" s="9" t="s">
        <x:v>515</x:v>
      </x:c>
      <x:c r="G109" s="21" t="s">
        <x:v>45</x:v>
      </x:c>
      <x:c r="H109" s="9" t="s">
        <x:v>516</x:v>
      </x:c>
      <x:c r="I109" s="9" t="s">
        <x:v>47</x:v>
      </x:c>
      <x:c r="J109" s="6" t="s">
        <x:v>517</x:v>
      </x:c>
      <x:c r="K109" s="25" t="s">
        <x:v>76</x:v>
      </x:c>
      <x:c r="L109" s="21" t="s">
        <x:v>518</x:v>
      </x:c>
      <x:c r="M109" s="6"/>
    </x:row>
  </x:sheetData>
  <x:mergeCells>
    <x:mergeCell ref="A5:C6"/>
    <x:mergeCell ref="D5:F6"/>
    <x:mergeCell ref="G5:I6"/>
    <x:mergeCell ref="J5:M6"/>
    <x:mergeCell ref="A1:M1"/>
    <x:mergeCell ref="A2:M2"/>
    <x:mergeCell ref="A4:C4"/>
    <x:mergeCell ref="D4:F4"/>
    <x:mergeCell ref="G4:I4"/>
    <x:mergeCell ref="J4:M4"/>
  </x:mergeCells>
  <x:conditionalFormatting sqref="G9:G109">
    <x:cfRule type="containsBlanks" dxfId="29" priority="48"/>
  </x:conditionalFormatting>
  <x:conditionalFormatting sqref="K9:K16 K18:K109">
    <x:cfRule type="containsText" dxfId="28" priority="47" operator="containsText" text="сомневаюсь"/>
    <x:cfRule type="containsText" dxfId="27" priority="46" operator="containsText" text="убрать"/>
    <x:cfRule type="containsText" dxfId="26" priority="45" operator="containsText" text="оставить"/>
  </x:conditionalFormatting>
  <x:conditionalFormatting sqref="L9:L9">
    <x:cfRule type="containsBlanks" dxfId="25" priority="44"/>
  </x:conditionalFormatting>
  <x:conditionalFormatting sqref="L11:L11">
    <x:cfRule type="containsBlanks" dxfId="24" priority="43"/>
  </x:conditionalFormatting>
  <x:conditionalFormatting sqref="L15:L15">
    <x:cfRule type="containsBlanks" dxfId="23" priority="42"/>
  </x:conditionalFormatting>
  <x:conditionalFormatting sqref="L17:L19">
    <x:cfRule type="containsBlanks" dxfId="22" priority="40"/>
  </x:conditionalFormatting>
  <x:conditionalFormatting sqref="L21:L27">
    <x:cfRule type="containsBlanks" dxfId="21" priority="36"/>
  </x:conditionalFormatting>
  <x:conditionalFormatting sqref="L29:L29">
    <x:cfRule type="containsBlanks" dxfId="20" priority="35"/>
  </x:conditionalFormatting>
  <x:conditionalFormatting sqref="L31:L33">
    <x:cfRule type="containsBlanks" dxfId="19" priority="32"/>
  </x:conditionalFormatting>
  <x:conditionalFormatting sqref="L35:L38">
    <x:cfRule type="containsBlanks" dxfId="18" priority="28"/>
  </x:conditionalFormatting>
  <x:conditionalFormatting sqref="L40:L40">
    <x:cfRule type="containsBlanks" dxfId="17" priority="27"/>
  </x:conditionalFormatting>
  <x:conditionalFormatting sqref="L43:L44">
    <x:cfRule type="containsBlanks" dxfId="16" priority="25"/>
  </x:conditionalFormatting>
  <x:conditionalFormatting sqref="L47:L51">
    <x:cfRule type="containsBlanks" dxfId="15" priority="20"/>
  </x:conditionalFormatting>
  <x:conditionalFormatting sqref="L53:L57">
    <x:cfRule type="containsBlanks" dxfId="14" priority="15"/>
  </x:conditionalFormatting>
  <x:conditionalFormatting sqref="L59:L61">
    <x:cfRule type="containsBlanks" dxfId="13" priority="12"/>
  </x:conditionalFormatting>
  <x:conditionalFormatting sqref="L63:L63">
    <x:cfRule type="containsBlanks" dxfId="12" priority="11"/>
  </x:conditionalFormatting>
  <x:conditionalFormatting sqref="L67:L67">
    <x:cfRule type="containsBlanks" dxfId="11" priority="10"/>
  </x:conditionalFormatting>
  <x:conditionalFormatting sqref="L70:L71">
    <x:cfRule type="containsBlanks" dxfId="10" priority="8"/>
  </x:conditionalFormatting>
  <x:conditionalFormatting sqref="L73:L74">
    <x:cfRule type="containsBlanks" dxfId="9" priority="6"/>
  </x:conditionalFormatting>
  <x:conditionalFormatting sqref="L81:L81">
    <x:cfRule type="containsBlanks" dxfId="8" priority="5"/>
  </x:conditionalFormatting>
  <x:conditionalFormatting sqref="L94:L94">
    <x:cfRule type="containsBlanks" dxfId="7" priority="4"/>
  </x:conditionalFormatting>
  <x:conditionalFormatting sqref="L100:L100">
    <x:cfRule type="containsBlanks" dxfId="6" priority="3"/>
  </x:conditionalFormatting>
  <x:conditionalFormatting sqref="L102:L102">
    <x:cfRule type="containsBlanks" dxfId="5" priority="2"/>
  </x:conditionalFormatting>
  <x:conditionalFormatting sqref="L109:L109">
    <x:cfRule type="containsBlanks" dxfId="4" priority="1"/>
  </x:conditionalFormatting>
  <x:dataValidations count="1">
    <x:dataValidation type="list" sqref="K9:K16 K18:K109">
      <x:formula1>"не проверено,оставить,убрать,сомневаюсь"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12d1e45a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1" customWidth="1"/>
    <x:col min="2" max="2" width="11" customWidth="1"/>
    <x:col min="3" max="3" width="10" customWidth="1"/>
    <x:col min="4" max="4" width="15" customWidth="1"/>
    <x:col min="5" max="5" width="42" customWidth="1"/>
    <x:col min="6" max="6" width="62" customWidth="1"/>
    <x:col min="7" max="7" width="36" customWidth="1"/>
  </x:cols>
  <x:sheetData>
    <x:row r="1" ht="36" customHeight="1">
      <x:c r="A1" s="52" t="s">
        <x:v>519</x:v>
      </x:c>
      <x:c r="B1" s="52"/>
      <x:c r="C1" s="52"/>
      <x:c r="D1" s="52"/>
      <x:c r="E1" s="52"/>
      <x:c r="F1" s="52"/>
      <x:c r="G1" s="52"/>
    </x:row>
    <x:row r="2" ht="34" customHeight="1">
      <x:c r="A2" s="53" t="s">
        <x:v>520</x:v>
      </x:c>
      <x:c r="B2" s="53"/>
      <x:c r="C2" s="53"/>
      <x:c r="D2" s="53"/>
      <x:c r="E2" s="53"/>
      <x:c r="F2" s="53"/>
      <x:c r="G2" s="53"/>
    </x:row>
    <x:row r="4" ht="30" customHeight="1">
      <x:c r="A4" s="1" t="s">
        <x:v>521</x:v>
      </x:c>
      <x:c r="B4" s="2" t="s">
        <x:v>7</x:v>
      </x:c>
      <x:c r="C4" s="2" t="s">
        <x:v>8</x:v>
      </x:c>
      <x:c r="D4" s="2" t="s">
        <x:v>522</x:v>
      </x:c>
      <x:c r="E4" s="2" t="s">
        <x:v>523</x:v>
      </x:c>
      <x:c r="F4" s="2" t="s">
        <x:v>524</x:v>
      </x:c>
      <x:c r="G4" s="3" t="s">
        <x:v>525</x:v>
      </x:c>
    </x:row>
    <x:row r="5" ht="70">
      <x:c r="A5" s="4" t="s">
        <x:v>11</x:v>
      </x:c>
      <x:c r="B5" s="4" t="n">
        <x:f>SUM(Matrix!$C$2:$C$102)</x:f>
        <x:v>26</x:v>
      </x:c>
      <x:c r="C5" s="13" t="n">
        <x:f>B5/COUNTA(Data!$A$5:$A$105)</x:f>
        <x:v>0.25742574257425743</x:v>
      </x:c>
      <x:c r="D5" s="4">
        <x:v>17</x:v>
      </x:c>
      <x:c r="E5" s="7" t="s">
        <x:v>526</x:v>
      </x:c>
      <x:c r="F5" s="7" t="s">
        <x:v>527</x:v>
      </x:c>
      <x:c r="G5" s="7"/>
    </x:row>
    <x:row r="6" ht="56">
      <x:c r="A6" s="5" t="s">
        <x:v>14</x:v>
      </x:c>
      <x:c r="B6" s="5" t="n">
        <x:f>SUM(Matrix!$D$2:$D$102)</x:f>
        <x:v>25</x:v>
      </x:c>
      <x:c r="C6" s="14" t="n">
        <x:f>B6/COUNTA(Data!$A$5:$A$105)</x:f>
        <x:v>0.24752475247524752</x:v>
      </x:c>
      <x:c r="D6" s="5">
        <x:v>17</x:v>
      </x:c>
      <x:c r="E6" s="8" t="s">
        <x:v>528</x:v>
      </x:c>
      <x:c r="F6" s="8" t="s">
        <x:v>529</x:v>
      </x:c>
      <x:c r="G6" s="8"/>
    </x:row>
    <x:row r="7" ht="84">
      <x:c r="A7" s="5" t="s">
        <x:v>15</x:v>
      </x:c>
      <x:c r="B7" s="5" t="n">
        <x:f>SUM(Matrix!$E$2:$E$102)</x:f>
        <x:v>24</x:v>
      </x:c>
      <x:c r="C7" s="14" t="n">
        <x:f>B7/COUNTA(Data!$A$5:$A$105)</x:f>
        <x:v>0.2376237623762376</x:v>
      </x:c>
      <x:c r="D7" s="5">
        <x:v>14</x:v>
      </x:c>
      <x:c r="E7" s="8" t="s">
        <x:v>530</x:v>
      </x:c>
      <x:c r="F7" s="8" t="s">
        <x:v>531</x:v>
      </x:c>
      <x:c r="G7" s="8"/>
    </x:row>
    <x:row r="8" ht="70">
      <x:c r="A8" s="5" t="s">
        <x:v>16</x:v>
      </x:c>
      <x:c r="B8" s="5" t="n">
        <x:f>SUM(Matrix!$F$2:$F$102)</x:f>
        <x:v>20</x:v>
      </x:c>
      <x:c r="C8" s="14" t="n">
        <x:f>B8/COUNTA(Data!$A$5:$A$105)</x:f>
        <x:v>0.19801980198019803</x:v>
      </x:c>
      <x:c r="D8" s="5">
        <x:v>14</x:v>
      </x:c>
      <x:c r="E8" s="8" t="s">
        <x:v>532</x:v>
      </x:c>
      <x:c r="F8" s="8" t="s">
        <x:v>533</x:v>
      </x:c>
      <x:c r="G8" s="8"/>
    </x:row>
    <x:row r="9" ht="70">
      <x:c r="A9" s="5" t="s">
        <x:v>17</x:v>
      </x:c>
      <x:c r="B9" s="5" t="n">
        <x:f>SUM(Matrix!$G$2:$G$102)</x:f>
        <x:v>19</x:v>
      </x:c>
      <x:c r="C9" s="14" t="n">
        <x:f>B9/COUNTA(Data!$A$5:$A$105)</x:f>
        <x:v>0.18811881188118812</x:v>
      </x:c>
      <x:c r="D9" s="5">
        <x:v>17</x:v>
      </x:c>
      <x:c r="E9" s="8" t="s">
        <x:v>534</x:v>
      </x:c>
      <x:c r="F9" s="8" t="s">
        <x:v>535</x:v>
      </x:c>
      <x:c r="G9" s="8"/>
    </x:row>
    <x:row r="10" ht="70">
      <x:c r="A10" s="5" t="s">
        <x:v>18</x:v>
      </x:c>
      <x:c r="B10" s="5" t="n">
        <x:f>SUM(Matrix!$H$2:$H$102)</x:f>
        <x:v>18</x:v>
      </x:c>
      <x:c r="C10" s="14" t="n">
        <x:f>B10/COUNTA(Data!$A$5:$A$105)</x:f>
        <x:v>0.1782178217821782</x:v>
      </x:c>
      <x:c r="D10" s="5">
        <x:v>10</x:v>
      </x:c>
      <x:c r="E10" s="8" t="s">
        <x:v>536</x:v>
      </x:c>
      <x:c r="F10" s="8" t="s">
        <x:v>537</x:v>
      </x:c>
      <x:c r="G10" s="8"/>
    </x:row>
    <x:row r="11" ht="70">
      <x:c r="A11" s="5" t="s">
        <x:v>20</x:v>
      </x:c>
      <x:c r="B11" s="5" t="n">
        <x:f>SUM(Matrix!$I$2:$I$102)</x:f>
        <x:v>16</x:v>
      </x:c>
      <x:c r="C11" s="14" t="n">
        <x:f>B11/COUNTA(Data!$A$5:$A$105)</x:f>
        <x:v>0.15841584158415842</x:v>
      </x:c>
      <x:c r="D11" s="5">
        <x:v>12</x:v>
      </x:c>
      <x:c r="E11" s="8" t="s">
        <x:v>538</x:v>
      </x:c>
      <x:c r="F11" s="8" t="s">
        <x:v>539</x:v>
      </x:c>
      <x:c r="G11" s="8"/>
    </x:row>
    <x:row r="12" ht="56">
      <x:c r="A12" s="5" t="s">
        <x:v>21</x:v>
      </x:c>
      <x:c r="B12" s="5" t="n">
        <x:f>SUM(Matrix!$J$2:$J$102)</x:f>
        <x:v>14</x:v>
      </x:c>
      <x:c r="C12" s="14" t="n">
        <x:f>B12/COUNTA(Data!$A$5:$A$105)</x:f>
        <x:v>0.13861386138613863</x:v>
      </x:c>
      <x:c r="D12" s="5">
        <x:v>11</x:v>
      </x:c>
      <x:c r="E12" s="8" t="s">
        <x:v>540</x:v>
      </x:c>
      <x:c r="F12" s="8" t="s">
        <x:v>541</x:v>
      </x:c>
      <x:c r="G12" s="8"/>
    </x:row>
    <x:row r="13" ht="56">
      <x:c r="A13" s="5" t="s">
        <x:v>22</x:v>
      </x:c>
      <x:c r="B13" s="5" t="n">
        <x:f>SUM(Matrix!$K$2:$K$102)</x:f>
        <x:v>12</x:v>
      </x:c>
      <x:c r="C13" s="14" t="n">
        <x:f>B13/COUNTA(Data!$A$5:$A$105)</x:f>
        <x:v>0.1188118811881188</x:v>
      </x:c>
      <x:c r="D13" s="5">
        <x:v>8</x:v>
      </x:c>
      <x:c r="E13" s="8" t="s">
        <x:v>542</x:v>
      </x:c>
      <x:c r="F13" s="8" t="s">
        <x:v>543</x:v>
      </x:c>
      <x:c r="G13" s="8"/>
    </x:row>
    <x:row r="14" ht="84">
      <x:c r="A14" s="5" t="s">
        <x:v>23</x:v>
      </x:c>
      <x:c r="B14" s="5" t="n">
        <x:f>SUM(Matrix!$L$2:$L$102)</x:f>
        <x:v>8</x:v>
      </x:c>
      <x:c r="C14" s="14" t="n">
        <x:f>B14/COUNTA(Data!$A$5:$A$105)</x:f>
        <x:v>0.07920792079207921</x:v>
      </x:c>
      <x:c r="D14" s="5">
        <x:v>7</x:v>
      </x:c>
      <x:c r="E14" s="8" t="s">
        <x:v>544</x:v>
      </x:c>
      <x:c r="F14" s="8" t="s">
        <x:v>545</x:v>
      </x:c>
      <x:c r="G14" s="8"/>
    </x:row>
    <x:row r="15" ht="70">
      <x:c r="A15" s="5" t="s">
        <x:v>546</x:v>
      </x:c>
      <x:c r="B15" s="5" t="n">
        <x:f>SUM(Matrix!$M$2:$M$102)</x:f>
        <x:v>7</x:v>
      </x:c>
      <x:c r="C15" s="14" t="n">
        <x:f>B15/COUNTA(Data!$A$5:$A$105)</x:f>
        <x:v>0.06930693069306931</x:v>
      </x:c>
      <x:c r="D15" s="5">
        <x:v>6</x:v>
      </x:c>
      <x:c r="E15" s="8" t="s">
        <x:v>547</x:v>
      </x:c>
      <x:c r="F15" s="8" t="s">
        <x:v>548</x:v>
      </x:c>
      <x:c r="G15" s="8"/>
    </x:row>
    <x:row r="16" ht="56">
      <x:c r="A16" s="6" t="s">
        <x:v>549</x:v>
      </x:c>
      <x:c r="B16" s="6" t="n">
        <x:f>SUM(Matrix!$N$2:$N$102)</x:f>
        <x:v>5</x:v>
      </x:c>
      <x:c r="C16" s="15" t="n">
        <x:f>B16/COUNTA(Data!$A$5:$A$105)</x:f>
        <x:v>0.04950495049504951</x:v>
      </x:c>
      <x:c r="D16" s="6">
        <x:v>4</x:v>
      </x:c>
      <x:c r="E16" s="9" t="s">
        <x:v>550</x:v>
      </x:c>
      <x:c r="F16" s="9" t="s">
        <x:v>551</x:v>
      </x:c>
      <x:c r="G16" s="9"/>
    </x:row>
  </x:sheetData>
  <x:mergeCells>
    <x:mergeCell ref="A1:G1"/>
    <x:mergeCell ref="A2:G2"/>
  </x:mergeCells>
  <x:conditionalFormatting sqref="B5:B16">
    <x:cfRule type="dataBar" priority="1">
      <x:dataBar>
        <x:cfvo type="min"/>
        <x:cfvo type="max"/>
        <x:color rgb="FFC97C4D"/>
      </x:dataBar>
    </x:cfRule>
    <x:cfRule type="dataBar" priority="2">
      <x:dataBar>
        <x:cfvo type="min"/>
        <x:cfvo type="max"/>
        <x:color rgb="FFC97C4D"/>
      </x:dataBar>
    </x:cfRule>
    <x:cfRule type="dataBar" priority="3">
      <x:dataBar>
        <x:cfvo type="min"/>
        <x:cfvo type="max"/>
        <x:color rgb="FFC97C4D"/>
      </x:dataBar>
      <x:extLst>
        <x:ext xmlns:x14="http://schemas.microsoft.com/office/spreadsheetml/2009/9/main" uri="{B025F937-C7B1-47D3-B67F-A62EFF666E3E}">
          <x14:id>{7377E16E-E5B8-A8C2-D165-B05B7B7047C5}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0cd8ceb11264e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377E16E-E5B8-A8C2-D165-B05B7B7047C5}">
            <x14:dataBar>
              <x14:cfvo type="min"/>
              <x14:cfvo type="max"/>
              <x14:fillColor rgb="FFC97C4D"/>
              <x14:negativeFillColor auto="1"/>
              <x14:axisColor auto="1"/>
            </x14:dataBar>
          </x14:cfRule>
          <xm:sqref>B5:B16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2" width="33" customWidth="1"/>
    <x:col min="3" max="3" width="12" customWidth="1"/>
    <x:col min="4" max="4" width="18" customWidth="1"/>
  </x:cols>
  <x:sheetData>
    <x:row r="1" ht="36" customHeight="1">
      <x:c r="A1" s="52" t="s">
        <x:v>552</x:v>
      </x:c>
      <x:c r="B1" s="52"/>
      <x:c r="C1" s="52"/>
      <x:c r="D1" s="52"/>
    </x:row>
    <x:row r="2" ht="34" customHeight="1">
      <x:c r="A2" s="53" t="s">
        <x:v>553</x:v>
      </x:c>
      <x:c r="B2" s="53"/>
      <x:c r="C2" s="53"/>
      <x:c r="D2" s="53"/>
    </x:row>
    <x:row r="4" ht="30" customHeight="1">
      <x:c r="A4" s="1" t="s">
        <x:v>554</x:v>
      </x:c>
      <x:c r="B4" s="2" t="s">
        <x:v>555</x:v>
      </x:c>
      <x:c r="C4" s="2" t="s">
        <x:v>7</x:v>
      </x:c>
      <x:c r="D4" s="3" t="s">
        <x:v>556</x:v>
      </x:c>
    </x:row>
    <x:row r="5">
      <x:c r="A5" s="4" t="s">
        <x:v>16</x:v>
      </x:c>
      <x:c r="B5" s="4" t="s">
        <x:v>11</x:v>
      </x:c>
      <x:c r="C5" s="4" t="n">
        <x:f>COUNTIFS(Matrix!$F$2:$F$102,1,Matrix!$C$2:$C$102,1)</x:f>
        <x:v>12</x:v>
      </x:c>
      <x:c r="D5" s="13" t="n">
        <x:f>C5/COUNTA(Data!$A$5:$A$105)</x:f>
        <x:v>0.1188118811881188</x:v>
      </x:c>
    </x:row>
    <x:row r="6">
      <x:c r="A6" s="5" t="s">
        <x:v>22</x:v>
      </x:c>
      <x:c r="B6" s="5" t="s">
        <x:v>11</x:v>
      </x:c>
      <x:c r="C6" s="5" t="n">
        <x:f>COUNTIFS(Matrix!$K$2:$K$102,1,Matrix!$C$2:$C$102,1)</x:f>
        <x:v>10</x:v>
      </x:c>
      <x:c r="D6" s="14" t="n">
        <x:f>C6/COUNTA(Data!$A$5:$A$105)</x:f>
        <x:v>0.09900990099009901</x:v>
      </x:c>
    </x:row>
    <x:row r="7">
      <x:c r="A7" s="5" t="s">
        <x:v>17</x:v>
      </x:c>
      <x:c r="B7" s="5" t="s">
        <x:v>16</x:v>
      </x:c>
      <x:c r="C7" s="5" t="n">
        <x:f>COUNTIFS(Matrix!$G$2:$G$102,1,Matrix!$F$2:$F$102,1)</x:f>
        <x:v>9</x:v>
      </x:c>
      <x:c r="D7" s="14" t="n">
        <x:f>C7/COUNTA(Data!$A$5:$A$105)</x:f>
        <x:v>0.0891089108910891</x:v>
      </x:c>
    </x:row>
    <x:row r="8">
      <x:c r="A8" s="5" t="s">
        <x:v>17</x:v>
      </x:c>
      <x:c r="B8" s="5" t="s">
        <x:v>18</x:v>
      </x:c>
      <x:c r="C8" s="5" t="n">
        <x:f>COUNTIFS(Matrix!$G$2:$G$102,1,Matrix!$H$2:$H$102,1)</x:f>
        <x:v>8</x:v>
      </x:c>
      <x:c r="D8" s="14" t="n">
        <x:f>C8/COUNTA(Data!$A$5:$A$105)</x:f>
        <x:v>0.07920792079207921</x:v>
      </x:c>
    </x:row>
    <x:row r="9">
      <x:c r="A9" s="5" t="s">
        <x:v>17</x:v>
      </x:c>
      <x:c r="B9" s="5" t="s">
        <x:v>11</x:v>
      </x:c>
      <x:c r="C9" s="5" t="n">
        <x:f>COUNTIFS(Matrix!$G$2:$G$102,1,Matrix!$C$2:$C$102,1)</x:f>
        <x:v>7</x:v>
      </x:c>
      <x:c r="D9" s="14" t="n">
        <x:f>C9/COUNTA(Data!$A$5:$A$105)</x:f>
        <x:v>0.06930693069306931</x:v>
      </x:c>
    </x:row>
    <x:row r="10">
      <x:c r="A10" s="5" t="s">
        <x:v>21</x:v>
      </x:c>
      <x:c r="B10" s="5" t="s">
        <x:v>14</x:v>
      </x:c>
      <x:c r="C10" s="5" t="n">
        <x:f>COUNTIFS(Matrix!$J$2:$J$102,1,Matrix!$D$2:$D$102,1)</x:f>
        <x:v>7</x:v>
      </x:c>
      <x:c r="D10" s="14" t="n">
        <x:f>C10/COUNTA(Data!$A$5:$A$105)</x:f>
        <x:v>0.06930693069306931</x:v>
      </x:c>
    </x:row>
    <x:row r="11">
      <x:c r="A11" s="5" t="s">
        <x:v>20</x:v>
      </x:c>
      <x:c r="B11" s="5" t="s">
        <x:v>16</x:v>
      </x:c>
      <x:c r="C11" s="5" t="n">
        <x:f>COUNTIFS(Matrix!$I$2:$I$102,1,Matrix!$F$2:$F$102,1)</x:f>
        <x:v>6</x:v>
      </x:c>
      <x:c r="D11" s="14" t="n">
        <x:f>C11/COUNTA(Data!$A$5:$A$105)</x:f>
        <x:v>0.0594059405940594</x:v>
      </x:c>
    </x:row>
    <x:row r="12">
      <x:c r="A12" s="5" t="s">
        <x:v>20</x:v>
      </x:c>
      <x:c r="B12" s="5" t="s">
        <x:v>11</x:v>
      </x:c>
      <x:c r="C12" s="5" t="n">
        <x:f>COUNTIFS(Matrix!$I$2:$I$102,1,Matrix!$C$2:$C$102,1)</x:f>
        <x:v>6</x:v>
      </x:c>
      <x:c r="D12" s="14" t="n">
        <x:f>C12/COUNTA(Data!$A$5:$A$105)</x:f>
        <x:v>0.0594059405940594</x:v>
      </x:c>
    </x:row>
    <x:row r="13">
      <x:c r="A13" s="5" t="s">
        <x:v>18</x:v>
      </x:c>
      <x:c r="B13" s="5" t="s">
        <x:v>11</x:v>
      </x:c>
      <x:c r="C13" s="5" t="n">
        <x:f>COUNTIFS(Matrix!$H$2:$H$102,1,Matrix!$C$2:$C$102,1)</x:f>
        <x:v>6</x:v>
      </x:c>
      <x:c r="D13" s="14" t="n">
        <x:f>C13/COUNTA(Data!$A$5:$A$105)</x:f>
        <x:v>0.0594059405940594</x:v>
      </x:c>
    </x:row>
    <x:row r="14">
      <x:c r="A14" s="5" t="s">
        <x:v>20</x:v>
      </x:c>
      <x:c r="B14" s="5" t="s">
        <x:v>23</x:v>
      </x:c>
      <x:c r="C14" s="5" t="n">
        <x:f>COUNTIFS(Matrix!$I$2:$I$102,1,Matrix!$L$2:$L$102,1)</x:f>
        <x:v>5</x:v>
      </x:c>
      <x:c r="D14" s="14" t="n">
        <x:f>C14/COUNTA(Data!$A$5:$A$105)</x:f>
        <x:v>0.04950495049504951</x:v>
      </x:c>
    </x:row>
    <x:row r="15">
      <x:c r="A15" s="5" t="s">
        <x:v>16</x:v>
      </x:c>
      <x:c r="B15" s="5" t="s">
        <x:v>15</x:v>
      </x:c>
      <x:c r="C15" s="5" t="n">
        <x:f>COUNTIFS(Matrix!$F$2:$F$102,1,Matrix!$E$2:$E$102,1)</x:f>
        <x:v>5</x:v>
      </x:c>
      <x:c r="D15" s="14" t="n">
        <x:f>C15/COUNTA(Data!$A$5:$A$105)</x:f>
        <x:v>0.04950495049504951</x:v>
      </x:c>
    </x:row>
    <x:row r="16">
      <x:c r="A16" s="5" t="s">
        <x:v>16</x:v>
      </x:c>
      <x:c r="B16" s="5" t="s">
        <x:v>18</x:v>
      </x:c>
      <x:c r="C16" s="5" t="n">
        <x:f>COUNTIFS(Matrix!$F$2:$F$102,1,Matrix!$H$2:$H$102,1)</x:f>
        <x:v>5</x:v>
      </x:c>
      <x:c r="D16" s="14" t="n">
        <x:f>C16/COUNTA(Data!$A$5:$A$105)</x:f>
        <x:v>0.04950495049504951</x:v>
      </x:c>
    </x:row>
    <x:row r="17">
      <x:c r="A17" s="5" t="s">
        <x:v>15</x:v>
      </x:c>
      <x:c r="B17" s="5" t="s">
        <x:v>18</x:v>
      </x:c>
      <x:c r="C17" s="5" t="n">
        <x:f>COUNTIFS(Matrix!$E$2:$E$102,1,Matrix!$H$2:$H$102,1)</x:f>
        <x:v>5</x:v>
      </x:c>
      <x:c r="D17" s="14" t="n">
        <x:f>C17/COUNTA(Data!$A$5:$A$105)</x:f>
        <x:v>0.04950495049504951</x:v>
      </x:c>
    </x:row>
    <x:row r="18">
      <x:c r="A18" s="5" t="s">
        <x:v>14</x:v>
      </x:c>
      <x:c r="B18" s="5" t="s">
        <x:v>11</x:v>
      </x:c>
      <x:c r="C18" s="5" t="n">
        <x:f>COUNTIFS(Matrix!$D$2:$D$102,1,Matrix!$C$2:$C$102,1)</x:f>
        <x:v>5</x:v>
      </x:c>
      <x:c r="D18" s="14" t="n">
        <x:f>C18/COUNTA(Data!$A$5:$A$105)</x:f>
        <x:v>0.04950495049504951</x:v>
      </x:c>
    </x:row>
    <x:row r="19">
      <x:c r="A19" s="5" t="s">
        <x:v>15</x:v>
      </x:c>
      <x:c r="B19" s="5" t="s">
        <x:v>11</x:v>
      </x:c>
      <x:c r="C19" s="5" t="n">
        <x:f>COUNTIFS(Matrix!$E$2:$E$102,1,Matrix!$C$2:$C$102,1)</x:f>
        <x:v>4</x:v>
      </x:c>
      <x:c r="D19" s="14" t="n">
        <x:f>C19/COUNTA(Data!$A$5:$A$105)</x:f>
        <x:v>0.039603960396039604</x:v>
      </x:c>
    </x:row>
    <x:row r="20">
      <x:c r="A20" s="5" t="s">
        <x:v>546</x:v>
      </x:c>
      <x:c r="B20" s="5" t="s">
        <x:v>14</x:v>
      </x:c>
      <x:c r="C20" s="5" t="n">
        <x:f>COUNTIFS(Matrix!$M$2:$M$102,1,Matrix!$D$2:$D$102,1)</x:f>
        <x:v>4</x:v>
      </x:c>
      <x:c r="D20" s="14" t="n">
        <x:f>C20/COUNTA(Data!$A$5:$A$105)</x:f>
        <x:v>0.039603960396039604</x:v>
      </x:c>
    </x:row>
    <x:row r="21">
      <x:c r="A21" s="5" t="s">
        <x:v>14</x:v>
      </x:c>
      <x:c r="B21" s="5" t="s">
        <x:v>20</x:v>
      </x:c>
      <x:c r="C21" s="5" t="n">
        <x:f>COUNTIFS(Matrix!$D$2:$D$102,1,Matrix!$I$2:$I$102,1)</x:f>
        <x:v>4</x:v>
      </x:c>
      <x:c r="D21" s="14" t="n">
        <x:f>C21/COUNTA(Data!$A$5:$A$105)</x:f>
        <x:v>0.039603960396039604</x:v>
      </x:c>
    </x:row>
    <x:row r="22">
      <x:c r="A22" s="5" t="s">
        <x:v>14</x:v>
      </x:c>
      <x:c r="B22" s="5" t="s">
        <x:v>16</x:v>
      </x:c>
      <x:c r="C22" s="5" t="n">
        <x:f>COUNTIFS(Matrix!$D$2:$D$102,1,Matrix!$F$2:$F$102,1)</x:f>
        <x:v>4</x:v>
      </x:c>
      <x:c r="D22" s="14" t="n">
        <x:f>C22/COUNTA(Data!$A$5:$A$105)</x:f>
        <x:v>0.039603960396039604</x:v>
      </x:c>
    </x:row>
    <x:row r="23">
      <x:c r="A23" s="5" t="s">
        <x:v>14</x:v>
      </x:c>
      <x:c r="B23" s="5" t="s">
        <x:v>15</x:v>
      </x:c>
      <x:c r="C23" s="5" t="n">
        <x:f>COUNTIFS(Matrix!$D$2:$D$102,1,Matrix!$E$2:$E$102,1)</x:f>
        <x:v>4</x:v>
      </x:c>
      <x:c r="D23" s="14" t="n">
        <x:f>C23/COUNTA(Data!$A$5:$A$105)</x:f>
        <x:v>0.039603960396039604</x:v>
      </x:c>
    </x:row>
    <x:row r="24">
      <x:c r="A24" s="5" t="s">
        <x:v>546</x:v>
      </x:c>
      <x:c r="B24" s="5" t="s">
        <x:v>17</x:v>
      </x:c>
      <x:c r="C24" s="5" t="n">
        <x:f>COUNTIFS(Matrix!$M$2:$M$102,1,Matrix!$G$2:$G$102,1)</x:f>
        <x:v>3</x:v>
      </x:c>
      <x:c r="D24" s="14" t="n">
        <x:f>C24/COUNTA(Data!$A$5:$A$105)</x:f>
        <x:v>0.0297029702970297</x:v>
      </x:c>
    </x:row>
    <x:row r="25">
      <x:c r="A25" s="5" t="s">
        <x:v>22</x:v>
      </x:c>
      <x:c r="B25" s="5" t="s">
        <x:v>16</x:v>
      </x:c>
      <x:c r="C25" s="5" t="n">
        <x:f>COUNTIFS(Matrix!$K$2:$K$102,1,Matrix!$F$2:$F$102,1)</x:f>
        <x:v>3</x:v>
      </x:c>
      <x:c r="D25" s="14" t="n">
        <x:f>C25/COUNTA(Data!$A$5:$A$105)</x:f>
        <x:v>0.0297029702970297</x:v>
      </x:c>
    </x:row>
    <x:row r="26">
      <x:c r="A26" s="5" t="s">
        <x:v>20</x:v>
      </x:c>
      <x:c r="B26" s="5" t="s">
        <x:v>18</x:v>
      </x:c>
      <x:c r="C26" s="5" t="n">
        <x:f>COUNTIFS(Matrix!$I$2:$I$102,1,Matrix!$H$2:$H$102,1)</x:f>
        <x:v>3</x:v>
      </x:c>
      <x:c r="D26" s="14" t="n">
        <x:f>C26/COUNTA(Data!$A$5:$A$105)</x:f>
        <x:v>0.0297029702970297</x:v>
      </x:c>
    </x:row>
    <x:row r="27">
      <x:c r="A27" s="5" t="s">
        <x:v>21</x:v>
      </x:c>
      <x:c r="B27" s="5" t="s">
        <x:v>20</x:v>
      </x:c>
      <x:c r="C27" s="5" t="n">
        <x:f>COUNTIFS(Matrix!$J$2:$J$102,1,Matrix!$I$2:$I$102,1)</x:f>
        <x:v>3</x:v>
      </x:c>
      <x:c r="D27" s="14" t="n">
        <x:f>C27/COUNTA(Data!$A$5:$A$105)</x:f>
        <x:v>0.0297029702970297</x:v>
      </x:c>
    </x:row>
    <x:row r="28">
      <x:c r="A28" s="5" t="s">
        <x:v>546</x:v>
      </x:c>
      <x:c r="B28" s="5" t="s">
        <x:v>21</x:v>
      </x:c>
      <x:c r="C28" s="5" t="n">
        <x:f>COUNTIFS(Matrix!$M$2:$M$102,1,Matrix!$J$2:$J$102,1)</x:f>
        <x:v>3</x:v>
      </x:c>
      <x:c r="D28" s="14" t="n">
        <x:f>C28/COUNTA(Data!$A$5:$A$105)</x:f>
        <x:v>0.0297029702970297</x:v>
      </x:c>
    </x:row>
    <x:row r="29">
      <x:c r="A29" s="5" t="s">
        <x:v>14</x:v>
      </x:c>
      <x:c r="B29" s="5" t="s">
        <x:v>17</x:v>
      </x:c>
      <x:c r="C29" s="5" t="n">
        <x:f>COUNTIFS(Matrix!$D$2:$D$102,1,Matrix!$G$2:$G$102,1)</x:f>
        <x:v>3</x:v>
      </x:c>
      <x:c r="D29" s="14" t="n">
        <x:f>C29/COUNTA(Data!$A$5:$A$105)</x:f>
        <x:v>0.0297029702970297</x:v>
      </x:c>
    </x:row>
    <x:row r="30">
      <x:c r="A30" s="5" t="s">
        <x:v>546</x:v>
      </x:c>
      <x:c r="B30" s="5" t="s">
        <x:v>15</x:v>
      </x:c>
      <x:c r="C30" s="5" t="n">
        <x:f>COUNTIFS(Matrix!$M$2:$M$102,1,Matrix!$E$2:$E$102,1)</x:f>
        <x:v>3</x:v>
      </x:c>
      <x:c r="D30" s="14" t="n">
        <x:f>C30/COUNTA(Data!$A$5:$A$105)</x:f>
        <x:v>0.0297029702970297</x:v>
      </x:c>
    </x:row>
    <x:row r="31">
      <x:c r="A31" s="5" t="s">
        <x:v>17</x:v>
      </x:c>
      <x:c r="B31" s="5" t="s">
        <x:v>15</x:v>
      </x:c>
      <x:c r="C31" s="5" t="n">
        <x:f>COUNTIFS(Matrix!$G$2:$G$102,1,Matrix!$E$2:$E$102,1)</x:f>
        <x:v>3</x:v>
      </x:c>
      <x:c r="D31" s="14" t="n">
        <x:f>C31/COUNTA(Data!$A$5:$A$105)</x:f>
        <x:v>0.0297029702970297</x:v>
      </x:c>
    </x:row>
    <x:row r="32">
      <x:c r="A32" s="5" t="s">
        <x:v>14</x:v>
      </x:c>
      <x:c r="B32" s="5" t="s">
        <x:v>18</x:v>
      </x:c>
      <x:c r="C32" s="5" t="n">
        <x:f>COUNTIFS(Matrix!$D$2:$D$102,1,Matrix!$H$2:$H$102,1)</x:f>
        <x:v>3</x:v>
      </x:c>
      <x:c r="D32" s="14" t="n">
        <x:f>C32/COUNTA(Data!$A$5:$A$105)</x:f>
        <x:v>0.0297029702970297</x:v>
      </x:c>
    </x:row>
    <x:row r="33">
      <x:c r="A33" s="5" t="s">
        <x:v>14</x:v>
      </x:c>
      <x:c r="B33" s="5" t="s">
        <x:v>22</x:v>
      </x:c>
      <x:c r="C33" s="5" t="n">
        <x:f>COUNTIFS(Matrix!$D$2:$D$102,1,Matrix!$K$2:$K$102,1)</x:f>
        <x:v>3</x:v>
      </x:c>
      <x:c r="D33" s="14" t="n">
        <x:f>C33/COUNTA(Data!$A$5:$A$105)</x:f>
        <x:v>0.0297029702970297</x:v>
      </x:c>
    </x:row>
    <x:row r="34">
      <x:c r="A34" s="5" t="s">
        <x:v>549</x:v>
      </x:c>
      <x:c r="B34" s="5" t="s">
        <x:v>15</x:v>
      </x:c>
      <x:c r="C34" s="5" t="n">
        <x:f>COUNTIFS(Matrix!$N$2:$N$102,1,Matrix!$E$2:$E$102,1)</x:f>
        <x:v>2</x:v>
      </x:c>
      <x:c r="D34" s="14" t="n">
        <x:f>C34/COUNTA(Data!$A$5:$A$105)</x:f>
        <x:v>0.019801980198019802</x:v>
      </x:c>
    </x:row>
    <x:row r="35">
      <x:c r="A35" s="5" t="s">
        <x:v>546</x:v>
      </x:c>
      <x:c r="B35" s="5" t="s">
        <x:v>16</x:v>
      </x:c>
      <x:c r="C35" s="5" t="n">
        <x:f>COUNTIFS(Matrix!$M$2:$M$102,1,Matrix!$F$2:$F$102,1)</x:f>
        <x:v>2</x:v>
      </x:c>
      <x:c r="D35" s="14" t="n">
        <x:f>C35/COUNTA(Data!$A$5:$A$105)</x:f>
        <x:v>0.019801980198019802</x:v>
      </x:c>
    </x:row>
    <x:row r="36">
      <x:c r="A36" s="5" t="s">
        <x:v>22</x:v>
      </x:c>
      <x:c r="B36" s="5" t="s">
        <x:v>20</x:v>
      </x:c>
      <x:c r="C36" s="5" t="n">
        <x:f>COUNTIFS(Matrix!$K$2:$K$102,1,Matrix!$I$2:$I$102,1)</x:f>
        <x:v>2</x:v>
      </x:c>
      <x:c r="D36" s="14" t="n">
        <x:f>C36/COUNTA(Data!$A$5:$A$105)</x:f>
        <x:v>0.019801980198019802</x:v>
      </x:c>
    </x:row>
    <x:row r="37">
      <x:c r="A37" s="5" t="s">
        <x:v>22</x:v>
      </x:c>
      <x:c r="B37" s="5" t="s">
        <x:v>15</x:v>
      </x:c>
      <x:c r="C37" s="5" t="n">
        <x:f>COUNTIFS(Matrix!$K$2:$K$102,1,Matrix!$E$2:$E$102,1)</x:f>
        <x:v>2</x:v>
      </x:c>
      <x:c r="D37" s="14" t="n">
        <x:f>C37/COUNTA(Data!$A$5:$A$105)</x:f>
        <x:v>0.019801980198019802</x:v>
      </x:c>
    </x:row>
    <x:row r="38">
      <x:c r="A38" s="5" t="s">
        <x:v>18</x:v>
      </x:c>
      <x:c r="B38" s="5" t="s">
        <x:v>23</x:v>
      </x:c>
      <x:c r="C38" s="5" t="n">
        <x:f>COUNTIFS(Matrix!$H$2:$H$102,1,Matrix!$L$2:$L$102,1)</x:f>
        <x:v>2</x:v>
      </x:c>
      <x:c r="D38" s="14" t="n">
        <x:f>C38/COUNTA(Data!$A$5:$A$105)</x:f>
        <x:v>0.019801980198019802</x:v>
      </x:c>
    </x:row>
    <x:row r="39">
      <x:c r="A39" s="5" t="s">
        <x:v>11</x:v>
      </x:c>
      <x:c r="B39" s="5" t="s">
        <x:v>23</x:v>
      </x:c>
      <x:c r="C39" s="5" t="n">
        <x:f>COUNTIFS(Matrix!$C$2:$C$102,1,Matrix!$L$2:$L$102,1)</x:f>
        <x:v>2</x:v>
      </x:c>
      <x:c r="D39" s="14" t="n">
        <x:f>C39/COUNTA(Data!$A$5:$A$105)</x:f>
        <x:v>0.019801980198019802</x:v>
      </x:c>
    </x:row>
    <x:row r="40">
      <x:c r="A40" s="5" t="s">
        <x:v>21</x:v>
      </x:c>
      <x:c r="B40" s="5" t="s">
        <x:v>11</x:v>
      </x:c>
      <x:c r="C40" s="5" t="n">
        <x:f>COUNTIFS(Matrix!$J$2:$J$102,1,Matrix!$C$2:$C$102,1)</x:f>
        <x:v>2</x:v>
      </x:c>
      <x:c r="D40" s="14" t="n">
        <x:f>C40/COUNTA(Data!$A$5:$A$105)</x:f>
        <x:v>0.019801980198019802</x:v>
      </x:c>
    </x:row>
    <x:row r="41">
      <x:c r="A41" s="5" t="s">
        <x:v>21</x:v>
      </x:c>
      <x:c r="B41" s="5" t="s">
        <x:v>18</x:v>
      </x:c>
      <x:c r="C41" s="5" t="n">
        <x:f>COUNTIFS(Matrix!$J$2:$J$102,1,Matrix!$H$2:$H$102,1)</x:f>
        <x:v>2</x:v>
      </x:c>
      <x:c r="D41" s="14" t="n">
        <x:f>C41/COUNTA(Data!$A$5:$A$105)</x:f>
        <x:v>0.019801980198019802</x:v>
      </x:c>
    </x:row>
    <x:row r="42">
      <x:c r="A42" s="5" t="s">
        <x:v>549</x:v>
      </x:c>
      <x:c r="B42" s="5" t="s">
        <x:v>11</x:v>
      </x:c>
      <x:c r="C42" s="5" t="n">
        <x:f>COUNTIFS(Matrix!$N$2:$N$102,1,Matrix!$C$2:$C$102,1)</x:f>
        <x:v>2</x:v>
      </x:c>
      <x:c r="D42" s="14" t="n">
        <x:f>C42/COUNTA(Data!$A$5:$A$105)</x:f>
        <x:v>0.019801980198019802</x:v>
      </x:c>
    </x:row>
    <x:row r="43">
      <x:c r="A43" s="5" t="s">
        <x:v>21</x:v>
      </x:c>
      <x:c r="B43" s="5" t="s">
        <x:v>15</x:v>
      </x:c>
      <x:c r="C43" s="5" t="n">
        <x:f>COUNTIFS(Matrix!$J$2:$J$102,1,Matrix!$E$2:$E$102,1)</x:f>
        <x:v>2</x:v>
      </x:c>
      <x:c r="D43" s="14" t="n">
        <x:f>C43/COUNTA(Data!$A$5:$A$105)</x:f>
        <x:v>0.019801980198019802</x:v>
      </x:c>
    </x:row>
    <x:row r="44">
      <x:c r="A44" s="5" t="s">
        <x:v>20</x:v>
      </x:c>
      <x:c r="B44" s="5" t="s">
        <x:v>15</x:v>
      </x:c>
      <x:c r="C44" s="5" t="n">
        <x:f>COUNTIFS(Matrix!$I$2:$I$102,1,Matrix!$E$2:$E$102,1)</x:f>
        <x:v>2</x:v>
      </x:c>
      <x:c r="D44" s="14" t="n">
        <x:f>C44/COUNTA(Data!$A$5:$A$105)</x:f>
        <x:v>0.019801980198019802</x:v>
      </x:c>
    </x:row>
    <x:row r="45">
      <x:c r="A45" s="6" t="s">
        <x:v>15</x:v>
      </x:c>
      <x:c r="B45" s="6" t="s">
        <x:v>23</x:v>
      </x:c>
      <x:c r="C45" s="6" t="n">
        <x:f>COUNTIFS(Matrix!$E$2:$E$102,1,Matrix!$L$2:$L$102,1)</x:f>
        <x:v>2</x:v>
      </x:c>
      <x:c r="D45" s="15" t="n">
        <x:f>C45/COUNTA(Data!$A$5:$A$105)</x:f>
        <x:v>0.019801980198019802</x:v>
      </x:c>
    </x:row>
  </x:sheetData>
  <x:mergeCells>
    <x:mergeCell ref="A1:D1"/>
    <x:mergeCell ref="A2:D2"/>
  </x:mergeCells>
  <x:conditionalFormatting sqref="C5:C45">
    <x:cfRule type="dataBar" priority="1">
      <x:dataBar>
        <x:cfvo type="min"/>
        <x:cfvo type="max"/>
        <x:color rgb="FF4E765C"/>
      </x:dataBar>
    </x:cfRule>
    <x:cfRule type="dataBar" priority="2">
      <x:dataBar>
        <x:cfvo type="min"/>
        <x:cfvo type="max"/>
        <x:color rgb="FF4E765C"/>
      </x:dataBar>
    </x:cfRule>
    <x:cfRule type="dataBar" priority="3">
      <x:dataBar>
        <x:cfvo type="min"/>
        <x:cfvo type="max"/>
        <x:color rgb="FF4E765C"/>
      </x:dataBar>
      <x:extLst>
        <x:ext xmlns:x14="http://schemas.microsoft.com/office/spreadsheetml/2009/9/main" uri="{B025F937-C7B1-47D3-B67F-A62EFF666E3E}">
          <x14:id>{6FD258B5-48AE-BE90-E6FC-8C25A35CD391}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e9cbfe0240a421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6FD258B5-48AE-BE90-E6FC-8C25A35CD391}">
            <x14:dataBar>
              <x14:cfvo type="min"/>
              <x14:cfvo type="max"/>
              <x14:fillColor rgb="FF4E765C"/>
              <x14:negativeFillColor auto="1"/>
              <x14:axisColor auto="1"/>
            </x14:dataBar>
          </x14:cfRule>
          <xm:sqref>C5:C45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7" customWidth="1"/>
    <x:col min="3" max="3" width="40" customWidth="1"/>
    <x:col min="4" max="4" width="8" customWidth="1"/>
    <x:col min="5" max="5" width="14" customWidth="1"/>
    <x:col min="6" max="6" width="42" customWidth="1"/>
    <x:col min="7" max="7" width="45" customWidth="1"/>
    <x:col min="8" max="8" width="34" customWidth="1"/>
    <x:col min="9" max="9" width="30" customWidth="1"/>
    <x:col min="10" max="10" width="34" customWidth="1"/>
    <x:col min="11" max="11" width="14" customWidth="1"/>
    <x:col min="12" max="12" width="18" customWidth="1"/>
    <x:col min="13" max="13" width="28" customWidth="1"/>
    <x:col min="14" max="14" width="34" customWidth="1"/>
  </x:cols>
  <x:sheetData>
    <x:row r="1" ht="36" customHeight="1">
      <x:c r="A1" s="52" t="s">
        <x:v>557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2" ht="38" customHeight="1">
      <x:c r="A2" s="53" t="s">
        <x:v>558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4" ht="30" customHeight="1">
      <x:c r="A4" s="1" t="s">
        <x:v>29</x:v>
      </x:c>
      <x:c r="B4" s="2" t="s">
        <x:v>30</x:v>
      </x:c>
      <x:c r="C4" s="2" t="s">
        <x:v>31</x:v>
      </x:c>
      <x:c r="D4" s="2" t="s">
        <x:v>32</x:v>
      </x:c>
      <x:c r="E4" s="2" t="s">
        <x:v>33</x:v>
      </x:c>
      <x:c r="F4" s="2" t="s">
        <x:v>34</x:v>
      </x:c>
      <x:c r="G4" s="2" t="s">
        <x:v>559</x:v>
      </x:c>
      <x:c r="H4" s="2" t="s">
        <x:v>560</x:v>
      </x:c>
      <x:c r="I4" s="2" t="s">
        <x:v>561</x:v>
      </x:c>
      <x:c r="J4" s="2" t="s">
        <x:v>562</x:v>
      </x:c>
      <x:c r="K4" s="2" t="s">
        <x:v>563</x:v>
      </x:c>
      <x:c r="L4" s="2" t="s">
        <x:v>564</x:v>
      </x:c>
      <x:c r="M4" s="2" t="s">
        <x:v>565</x:v>
      </x:c>
      <x:c r="N4" s="3" t="s">
        <x:v>38</x:v>
      </x:c>
    </x:row>
    <x:row r="5" ht="224">
      <x:c r="A5" s="4" t="s">
        <x:v>41</x:v>
      </x:c>
      <x:c r="B5" s="4">
        <x:v>1</x:v>
      </x:c>
      <x:c r="C5" s="4" t="s">
        <x:v>42</x:v>
      </x:c>
      <x:c r="D5" s="4">
        <x:v>57</x:v>
      </x:c>
      <x:c r="E5" s="4" t="s">
        <x:v>43</x:v>
      </x:c>
      <x:c r="F5" s="7" t="s">
        <x:v>44</x:v>
      </x:c>
      <x:c r="G5" s="7" t="s">
        <x:v>566</x:v>
      </x:c>
      <x:c r="H5" s="7" t="s">
        <x:v>18</x:v>
      </x:c>
      <x:c r="I5" s="7" t="s">
        <x:v>18</x:v>
      </x:c>
      <x:c r="J5" s="7" t="s">
        <x:v>567</x:v>
      </x:c>
      <x:c r="K5" s="4" t="s">
        <x:v>43</x:v>
      </x:c>
      <x:c r="L5" s="4" t="s">
        <x:v>240</x:v>
      </x:c>
      <x:c r="M5" s="4"/>
      <x:c r="N5" s="4" t="s">
        <x:v>48</x:v>
      </x:c>
    </x:row>
    <x:row r="6" ht="210">
      <x:c r="A6" s="5" t="s">
        <x:v>41</x:v>
      </x:c>
      <x:c r="B6" s="5">
        <x:v>2</x:v>
      </x:c>
      <x:c r="C6" s="5" t="s">
        <x:v>52</x:v>
      </x:c>
      <x:c r="D6" s="5">
        <x:v>18</x:v>
      </x:c>
      <x:c r="E6" s="5" t="s">
        <x:v>53</x:v>
      </x:c>
      <x:c r="F6" s="8" t="s">
        <x:v>54</x:v>
      </x:c>
      <x:c r="G6" s="8" t="s">
        <x:v>568</x:v>
      </x:c>
      <x:c r="H6" s="8" t="s">
        <x:v>569</x:v>
      </x:c>
      <x:c r="I6" s="8" t="s">
        <x:v>549</x:v>
      </x:c>
      <x:c r="J6" s="8" t="s">
        <x:v>570</x:v>
      </x:c>
      <x:c r="K6" s="5" t="s">
        <x:v>43</x:v>
      </x:c>
      <x:c r="L6" s="5" t="s">
        <x:v>240</x:v>
      </x:c>
      <x:c r="M6" s="5"/>
      <x:c r="N6" s="5" t="s">
        <x:v>58</x:v>
      </x:c>
    </x:row>
    <x:row r="7" ht="238">
      <x:c r="A7" s="5" t="s">
        <x:v>41</x:v>
      </x:c>
      <x:c r="B7" s="5">
        <x:v>3</x:v>
      </x:c>
      <x:c r="C7" s="5" t="s">
        <x:v>60</x:v>
      </x:c>
      <x:c r="D7" s="5">
        <x:v>58</x:v>
      </x:c>
      <x:c r="E7" s="5" t="s">
        <x:v>43</x:v>
      </x:c>
      <x:c r="F7" s="8" t="s">
        <x:v>61</x:v>
      </x:c>
      <x:c r="G7" s="8" t="s">
        <x:v>571</x:v>
      </x:c>
      <x:c r="H7" s="8" t="s">
        <x:v>572</x:v>
      </x:c>
      <x:c r="I7" s="8" t="s">
        <x:v>572</x:v>
      </x:c>
      <x:c r="J7" s="8" t="s">
        <x:v>573</x:v>
      </x:c>
      <x:c r="K7" s="5" t="s">
        <x:v>43</x:v>
      </x:c>
      <x:c r="L7" s="5" t="s">
        <x:v>240</x:v>
      </x:c>
      <x:c r="M7" s="5"/>
      <x:c r="N7" s="5" t="s">
        <x:v>64</x:v>
      </x:c>
    </x:row>
    <x:row r="8" ht="224">
      <x:c r="A8" s="5" t="s">
        <x:v>41</x:v>
      </x:c>
      <x:c r="B8" s="5">
        <x:v>4</x:v>
      </x:c>
      <x:c r="C8" s="5" t="s">
        <x:v>67</x:v>
      </x:c>
      <x:c r="D8" s="5">
        <x:v>5</x:v>
      </x:c>
      <x:c r="E8" s="5" t="s">
        <x:v>53</x:v>
      </x:c>
      <x:c r="F8" s="8" t="s">
        <x:v>68</x:v>
      </x:c>
      <x:c r="G8" s="8" t="s">
        <x:v>574</x:v>
      </x:c>
      <x:c r="H8" s="8" t="s">
        <x:v>575</x:v>
      </x:c>
      <x:c r="I8" s="8" t="s">
        <x:v>575</x:v>
      </x:c>
      <x:c r="J8" s="8" t="s">
        <x:v>576</x:v>
      </x:c>
      <x:c r="K8" s="5" t="s">
        <x:v>43</x:v>
      </x:c>
      <x:c r="L8" s="5" t="s">
        <x:v>240</x:v>
      </x:c>
      <x:c r="M8" s="5"/>
      <x:c r="N8" s="5" t="s">
        <x:v>70</x:v>
      </x:c>
    </x:row>
    <x:row r="9" ht="210">
      <x:c r="A9" s="5" t="s">
        <x:v>41</x:v>
      </x:c>
      <x:c r="B9" s="5">
        <x:v>5</x:v>
      </x:c>
      <x:c r="C9" s="5" t="s">
        <x:v>71</x:v>
      </x:c>
      <x:c r="D9" s="5">
        <x:v>38</x:v>
      </x:c>
      <x:c r="E9" s="5" t="s">
        <x:v>72</x:v>
      </x:c>
      <x:c r="F9" s="8" t="s">
        <x:v>73</x:v>
      </x:c>
      <x:c r="G9" s="8" t="s">
        <x:v>577</x:v>
      </x:c>
      <x:c r="H9" s="8"/>
      <x:c r="I9" s="8"/>
      <x:c r="J9" s="8"/>
      <x:c r="K9" s="5" t="s">
        <x:v>74</x:v>
      </x:c>
      <x:c r="L9" s="5" t="s">
        <x:v>240</x:v>
      </x:c>
      <x:c r="M9" s="5"/>
      <x:c r="N9" s="5" t="s">
        <x:v>75</x:v>
      </x:c>
    </x:row>
    <x:row r="10" ht="210">
      <x:c r="A10" s="5" t="s">
        <x:v>41</x:v>
      </x:c>
      <x:c r="B10" s="5">
        <x:v>6</x:v>
      </x:c>
      <x:c r="C10" s="5" t="s">
        <x:v>78</x:v>
      </x:c>
      <x:c r="D10" s="5">
        <x:v>44</x:v>
      </x:c>
      <x:c r="E10" s="5" t="s">
        <x:v>72</x:v>
      </x:c>
      <x:c r="F10" s="8" t="s">
        <x:v>79</x:v>
      </x:c>
      <x:c r="G10" s="8" t="s">
        <x:v>578</x:v>
      </x:c>
      <x:c r="H10" s="8"/>
      <x:c r="I10" s="8"/>
      <x:c r="J10" s="8"/>
      <x:c r="K10" s="5" t="s">
        <x:v>74</x:v>
      </x:c>
      <x:c r="L10" s="5" t="s">
        <x:v>240</x:v>
      </x:c>
      <x:c r="M10" s="5"/>
      <x:c r="N10" s="5" t="s">
        <x:v>80</x:v>
      </x:c>
    </x:row>
    <x:row r="11" ht="238">
      <x:c r="A11" s="5" t="s">
        <x:v>41</x:v>
      </x:c>
      <x:c r="B11" s="5">
        <x:v>7</x:v>
      </x:c>
      <x:c r="C11" s="5" t="s">
        <x:v>81</x:v>
      </x:c>
      <x:c r="D11" s="5">
        <x:v>36</x:v>
      </x:c>
      <x:c r="E11" s="5" t="s">
        <x:v>43</x:v>
      </x:c>
      <x:c r="F11" s="8" t="s">
        <x:v>82</x:v>
      </x:c>
      <x:c r="G11" s="8" t="s">
        <x:v>579</x:v>
      </x:c>
      <x:c r="H11" s="8" t="s">
        <x:v>580</x:v>
      </x:c>
      <x:c r="I11" s="8" t="s">
        <x:v>11</x:v>
      </x:c>
      <x:c r="J11" s="8" t="s">
        <x:v>581</x:v>
      </x:c>
      <x:c r="K11" s="5" t="s">
        <x:v>43</x:v>
      </x:c>
      <x:c r="L11" s="5" t="s">
        <x:v>240</x:v>
      </x:c>
      <x:c r="M11" s="5"/>
      <x:c r="N11" s="5" t="s">
        <x:v>86</x:v>
      </x:c>
    </x:row>
    <x:row r="12" ht="56">
      <x:c r="A12" s="5" t="s">
        <x:v>41</x:v>
      </x:c>
      <x:c r="B12" s="5">
        <x:v>8</x:v>
      </x:c>
      <x:c r="C12" s="5" t="s">
        <x:v>88</x:v>
      </x:c>
      <x:c r="D12" s="5">
        <x:v>50</x:v>
      </x:c>
      <x:c r="E12" s="5" t="s">
        <x:v>89</x:v>
      </x:c>
      <x:c r="F12" s="8" t="s">
        <x:v>90</x:v>
      </x:c>
      <x:c r="G12" s="8" t="s">
        <x:v>582</x:v>
      </x:c>
      <x:c r="H12" s="8"/>
      <x:c r="I12" s="8"/>
      <x:c r="J12" s="8"/>
      <x:c r="K12" s="5" t="s">
        <x:v>74</x:v>
      </x:c>
      <x:c r="L12" s="5" t="s">
        <x:v>240</x:v>
      </x:c>
      <x:c r="M12" s="5"/>
      <x:c r="N12" s="5" t="s">
        <x:v>91</x:v>
      </x:c>
    </x:row>
    <x:row r="13" ht="98">
      <x:c r="A13" s="5" t="s">
        <x:v>41</x:v>
      </x:c>
      <x:c r="B13" s="5">
        <x:v>9</x:v>
      </x:c>
      <x:c r="C13" s="5" t="s">
        <x:v>94</x:v>
      </x:c>
      <x:c r="D13" s="5">
        <x:v>29</x:v>
      </x:c>
      <x:c r="E13" s="5" t="s">
        <x:v>53</x:v>
      </x:c>
      <x:c r="F13" s="8" t="s">
        <x:v>95</x:v>
      </x:c>
      <x:c r="G13" s="8" t="s">
        <x:v>583</x:v>
      </x:c>
      <x:c r="H13" s="8" t="s">
        <x:v>15</x:v>
      </x:c>
      <x:c r="I13" s="8" t="s">
        <x:v>15</x:v>
      </x:c>
      <x:c r="J13" s="8" t="s">
        <x:v>584</x:v>
      </x:c>
      <x:c r="K13" s="5" t="s">
        <x:v>43</x:v>
      </x:c>
      <x:c r="L13" s="5" t="s">
        <x:v>240</x:v>
      </x:c>
      <x:c r="M13" s="5"/>
      <x:c r="N13" s="5" t="s">
        <x:v>97</x:v>
      </x:c>
    </x:row>
    <x:row r="14" ht="140">
      <x:c r="A14" s="5" t="s">
        <x:v>41</x:v>
      </x:c>
      <x:c r="B14" s="5">
        <x:v>10</x:v>
      </x:c>
      <x:c r="C14" s="5" t="s">
        <x:v>99</x:v>
      </x:c>
      <x:c r="D14" s="5">
        <x:v>40</x:v>
      </x:c>
      <x:c r="E14" s="5" t="s">
        <x:v>89</x:v>
      </x:c>
      <x:c r="F14" s="8" t="s">
        <x:v>100</x:v>
      </x:c>
      <x:c r="G14" s="8" t="s">
        <x:v>585</x:v>
      </x:c>
      <x:c r="H14" s="8" t="s">
        <x:v>15</x:v>
      </x:c>
      <x:c r="I14" s="8" t="s">
        <x:v>15</x:v>
      </x:c>
      <x:c r="J14" s="8" t="s">
        <x:v>586</x:v>
      </x:c>
      <x:c r="K14" s="5" t="s">
        <x:v>43</x:v>
      </x:c>
      <x:c r="L14" s="5" t="s">
        <x:v>240</x:v>
      </x:c>
      <x:c r="M14" s="5"/>
      <x:c r="N14" s="5" t="s">
        <x:v>101</x:v>
      </x:c>
    </x:row>
    <x:row r="15" ht="196">
      <x:c r="A15" s="5" t="s">
        <x:v>41</x:v>
      </x:c>
      <x:c r="B15" s="5">
        <x:v>11</x:v>
      </x:c>
      <x:c r="C15" s="5" t="s">
        <x:v>103</x:v>
      </x:c>
      <x:c r="D15" s="5">
        <x:v>29</x:v>
      </x:c>
      <x:c r="E15" s="5" t="s">
        <x:v>104</x:v>
      </x:c>
      <x:c r="F15" s="8" t="s">
        <x:v>105</x:v>
      </x:c>
      <x:c r="G15" s="8" t="s">
        <x:v>587</x:v>
      </x:c>
      <x:c r="H15" s="8" t="s">
        <x:v>588</x:v>
      </x:c>
      <x:c r="I15" s="8" t="s">
        <x:v>589</x:v>
      </x:c>
      <x:c r="J15" s="8" t="s">
        <x:v>590</x:v>
      </x:c>
      <x:c r="K15" s="5" t="s">
        <x:v>43</x:v>
      </x:c>
      <x:c r="L15" s="5" t="s">
        <x:v>240</x:v>
      </x:c>
      <x:c r="M15" s="5"/>
      <x:c r="N15" s="5" t="s">
        <x:v>108</x:v>
      </x:c>
    </x:row>
    <x:row r="16" ht="70">
      <x:c r="A16" s="5" t="s">
        <x:v>41</x:v>
      </x:c>
      <x:c r="B16" s="5">
        <x:v>12</x:v>
      </x:c>
      <x:c r="C16" s="5" t="s">
        <x:v>110</x:v>
      </x:c>
      <x:c r="D16" s="5">
        <x:v>88</x:v>
      </x:c>
      <x:c r="E16" s="5" t="s">
        <x:v>43</x:v>
      </x:c>
      <x:c r="F16" s="8" t="s">
        <x:v>111</x:v>
      </x:c>
      <x:c r="G16" s="8" t="s">
        <x:v>591</x:v>
      </x:c>
      <x:c r="H16" s="8" t="s">
        <x:v>592</x:v>
      </x:c>
      <x:c r="I16" s="8" t="s">
        <x:v>592</x:v>
      </x:c>
      <x:c r="J16" s="8" t="s">
        <x:v>593</x:v>
      </x:c>
      <x:c r="K16" s="5" t="s">
        <x:v>43</x:v>
      </x:c>
      <x:c r="L16" s="5" t="s">
        <x:v>240</x:v>
      </x:c>
      <x:c r="M16" s="5"/>
      <x:c r="N16" s="5" t="s">
        <x:v>114</x:v>
      </x:c>
    </x:row>
    <x:row r="17" ht="168">
      <x:c r="A17" s="5" t="s">
        <x:v>41</x:v>
      </x:c>
      <x:c r="B17" s="5">
        <x:v>13</x:v>
      </x:c>
      <x:c r="C17" s="5" t="s">
        <x:v>115</x:v>
      </x:c>
      <x:c r="D17" s="5">
        <x:v>56</x:v>
      </x:c>
      <x:c r="E17" s="5" t="s">
        <x:v>43</x:v>
      </x:c>
      <x:c r="F17" s="8" t="s">
        <x:v>116</x:v>
      </x:c>
      <x:c r="G17" s="8" t="s">
        <x:v>594</x:v>
      </x:c>
      <x:c r="H17" s="8" t="s">
        <x:v>11</x:v>
      </x:c>
      <x:c r="I17" s="8"/>
      <x:c r="J17" s="8" t="s">
        <x:v>595</x:v>
      </x:c>
      <x:c r="K17" s="5" t="s">
        <x:v>72</x:v>
      </x:c>
      <x:c r="L17" s="5" t="s">
        <x:v>240</x:v>
      </x:c>
      <x:c r="M17" s="5"/>
      <x:c r="N17" s="5" t="s">
        <x:v>119</x:v>
      </x:c>
    </x:row>
    <x:row r="18" ht="266">
      <x:c r="A18" s="5" t="s">
        <x:v>41</x:v>
      </x:c>
      <x:c r="B18" s="5">
        <x:v>14</x:v>
      </x:c>
      <x:c r="C18" s="5" t="s">
        <x:v>121</x:v>
      </x:c>
      <x:c r="D18" s="5">
        <x:v>64</x:v>
      </x:c>
      <x:c r="E18" s="5" t="s">
        <x:v>43</x:v>
      </x:c>
      <x:c r="F18" s="8" t="s">
        <x:v>121</x:v>
      </x:c>
      <x:c r="G18" s="8" t="s">
        <x:v>596</x:v>
      </x:c>
      <x:c r="H18" s="8" t="s">
        <x:v>23</x:v>
      </x:c>
      <x:c r="I18" s="8" t="s">
        <x:v>23</x:v>
      </x:c>
      <x:c r="J18" s="8" t="s">
        <x:v>597</x:v>
      </x:c>
      <x:c r="K18" s="5" t="s">
        <x:v>43</x:v>
      </x:c>
      <x:c r="L18" s="5" t="s">
        <x:v>240</x:v>
      </x:c>
      <x:c r="M18" s="5"/>
      <x:c r="N18" s="5" t="s">
        <x:v>123</x:v>
      </x:c>
    </x:row>
    <x:row r="19" ht="306">
      <x:c r="A19" s="5" t="s">
        <x:v>41</x:v>
      </x:c>
      <x:c r="B19" s="5">
        <x:v>15</x:v>
      </x:c>
      <x:c r="C19" s="5" t="s">
        <x:v>126</x:v>
      </x:c>
      <x:c r="D19" s="5">
        <x:v>30</x:v>
      </x:c>
      <x:c r="E19" s="5" t="s">
        <x:v>104</x:v>
      </x:c>
      <x:c r="F19" s="8" t="s">
        <x:v>127</x:v>
      </x:c>
      <x:c r="G19" s="8" t="s">
        <x:v>598</x:v>
      </x:c>
      <x:c r="H19" s="8" t="s">
        <x:v>572</x:v>
      </x:c>
      <x:c r="I19" s="8" t="s">
        <x:v>572</x:v>
      </x:c>
      <x:c r="J19" s="8" t="s">
        <x:v>599</x:v>
      </x:c>
      <x:c r="K19" s="5" t="s">
        <x:v>43</x:v>
      </x:c>
      <x:c r="L19" s="5" t="s">
        <x:v>240</x:v>
      </x:c>
      <x:c r="M19" s="5"/>
      <x:c r="N19" s="5" t="s">
        <x:v>129</x:v>
      </x:c>
    </x:row>
    <x:row r="20" ht="252">
      <x:c r="A20" s="5" t="s">
        <x:v>41</x:v>
      </x:c>
      <x:c r="B20" s="5">
        <x:v>16</x:v>
      </x:c>
      <x:c r="C20" s="5" t="s">
        <x:v>132</x:v>
      </x:c>
      <x:c r="D20" s="5">
        <x:v>28</x:v>
      </x:c>
      <x:c r="E20" s="5" t="s">
        <x:v>104</x:v>
      </x:c>
      <x:c r="F20" s="8"/>
      <x:c r="G20" s="8" t="s">
        <x:v>600</x:v>
      </x:c>
      <x:c r="H20" s="8"/>
      <x:c r="I20" s="8"/>
      <x:c r="J20" s="8"/>
      <x:c r="K20" s="5" t="s">
        <x:v>74</x:v>
      </x:c>
      <x:c r="L20" s="5" t="s">
        <x:v>240</x:v>
      </x:c>
      <x:c r="M20" s="5"/>
      <x:c r="N20" s="5" t="s">
        <x:v>133</x:v>
      </x:c>
    </x:row>
    <x:row r="21" ht="140">
      <x:c r="A21" s="5" t="s">
        <x:v>41</x:v>
      </x:c>
      <x:c r="B21" s="5">
        <x:v>17</x:v>
      </x:c>
      <x:c r="C21" s="5" t="s">
        <x:v>136</x:v>
      </x:c>
      <x:c r="D21" s="5">
        <x:v>39</x:v>
      </x:c>
      <x:c r="E21" s="5" t="s">
        <x:v>43</x:v>
      </x:c>
      <x:c r="F21" s="8" t="s">
        <x:v>137</x:v>
      </x:c>
      <x:c r="G21" s="8" t="s">
        <x:v>601</x:v>
      </x:c>
      <x:c r="H21" s="8" t="s">
        <x:v>572</x:v>
      </x:c>
      <x:c r="I21" s="8" t="s">
        <x:v>572</x:v>
      </x:c>
      <x:c r="J21" s="8" t="s">
        <x:v>602</x:v>
      </x:c>
      <x:c r="K21" s="5" t="s">
        <x:v>43</x:v>
      </x:c>
      <x:c r="L21" s="5" t="s">
        <x:v>240</x:v>
      </x:c>
      <x:c r="M21" s="5"/>
      <x:c r="N21" s="5" t="s">
        <x:v>139</x:v>
      </x:c>
    </x:row>
    <x:row r="22" ht="238">
      <x:c r="A22" s="5" t="s">
        <x:v>41</x:v>
      </x:c>
      <x:c r="B22" s="5">
        <x:v>18</x:v>
      </x:c>
      <x:c r="C22" s="5" t="s">
        <x:v>140</x:v>
      </x:c>
      <x:c r="D22" s="5">
        <x:v>30</x:v>
      </x:c>
      <x:c r="E22" s="5" t="s">
        <x:v>72</x:v>
      </x:c>
      <x:c r="F22" s="8" t="s">
        <x:v>141</x:v>
      </x:c>
      <x:c r="G22" s="8" t="s">
        <x:v>603</x:v>
      </x:c>
      <x:c r="H22" s="8" t="s">
        <x:v>604</x:v>
      </x:c>
      <x:c r="I22" s="8" t="s">
        <x:v>605</x:v>
      </x:c>
      <x:c r="J22" s="8" t="s">
        <x:v>606</x:v>
      </x:c>
      <x:c r="K22" s="5" t="s">
        <x:v>43</x:v>
      </x:c>
      <x:c r="L22" s="5" t="s">
        <x:v>240</x:v>
      </x:c>
      <x:c r="M22" s="5"/>
      <x:c r="N22" s="5" t="s">
        <x:v>145</x:v>
      </x:c>
    </x:row>
    <x:row r="23" ht="238">
      <x:c r="A23" s="5" t="s">
        <x:v>41</x:v>
      </x:c>
      <x:c r="B23" s="5">
        <x:v>19</x:v>
      </x:c>
      <x:c r="C23" s="5" t="s">
        <x:v>147</x:v>
      </x:c>
      <x:c r="D23" s="5">
        <x:v>31</x:v>
      </x:c>
      <x:c r="E23" s="5" t="s">
        <x:v>43</x:v>
      </x:c>
      <x:c r="F23" s="8" t="s">
        <x:v>148</x:v>
      </x:c>
      <x:c r="G23" s="8" t="s">
        <x:v>607</x:v>
      </x:c>
      <x:c r="H23" s="8" t="s">
        <x:v>608</x:v>
      </x:c>
      <x:c r="I23" s="8" t="s">
        <x:v>609</x:v>
      </x:c>
      <x:c r="J23" s="8" t="s">
        <x:v>610</x:v>
      </x:c>
      <x:c r="K23" s="5" t="s">
        <x:v>43</x:v>
      </x:c>
      <x:c r="L23" s="5" t="s">
        <x:v>240</x:v>
      </x:c>
      <x:c r="M23" s="5"/>
      <x:c r="N23" s="5" t="s">
        <x:v>151</x:v>
      </x:c>
    </x:row>
    <x:row r="24" ht="238">
      <x:c r="A24" s="5" t="s">
        <x:v>41</x:v>
      </x:c>
      <x:c r="B24" s="5">
        <x:v>20</x:v>
      </x:c>
      <x:c r="C24" s="5" t="s">
        <x:v>153</x:v>
      </x:c>
      <x:c r="D24" s="5">
        <x:v>44</x:v>
      </x:c>
      <x:c r="E24" s="5" t="s">
        <x:v>89</x:v>
      </x:c>
      <x:c r="F24" s="8" t="s">
        <x:v>154</x:v>
      </x:c>
      <x:c r="G24" s="8" t="s">
        <x:v>611</x:v>
      </x:c>
      <x:c r="H24" s="8" t="s">
        <x:v>15</x:v>
      </x:c>
      <x:c r="I24" s="8" t="s">
        <x:v>15</x:v>
      </x:c>
      <x:c r="J24" s="8" t="s">
        <x:v>586</x:v>
      </x:c>
      <x:c r="K24" s="5" t="s">
        <x:v>43</x:v>
      </x:c>
      <x:c r="L24" s="5" t="s">
        <x:v>240</x:v>
      </x:c>
      <x:c r="M24" s="5"/>
      <x:c r="N24" s="5" t="s">
        <x:v>155</x:v>
      </x:c>
    </x:row>
    <x:row r="25" ht="238">
      <x:c r="A25" s="5" t="s">
        <x:v>41</x:v>
      </x:c>
      <x:c r="B25" s="5">
        <x:v>21</x:v>
      </x:c>
      <x:c r="C25" s="5" t="s">
        <x:v>156</x:v>
      </x:c>
      <x:c r="D25" s="5">
        <x:v>34</x:v>
      </x:c>
      <x:c r="E25" s="5" t="s">
        <x:v>89</x:v>
      </x:c>
      <x:c r="F25" s="8" t="s">
        <x:v>157</x:v>
      </x:c>
      <x:c r="G25" s="8" t="s">
        <x:v>611</x:v>
      </x:c>
      <x:c r="H25" s="8" t="s">
        <x:v>612</x:v>
      </x:c>
      <x:c r="I25" s="8" t="s">
        <x:v>612</x:v>
      </x:c>
      <x:c r="J25" s="8" t="s">
        <x:v>613</x:v>
      </x:c>
      <x:c r="K25" s="5" t="s">
        <x:v>43</x:v>
      </x:c>
      <x:c r="L25" s="5" t="s">
        <x:v>240</x:v>
      </x:c>
      <x:c r="M25" s="5"/>
      <x:c r="N25" s="5" t="s">
        <x:v>160</x:v>
      </x:c>
    </x:row>
    <x:row r="26" ht="224">
      <x:c r="A26" s="5" t="s">
        <x:v>41</x:v>
      </x:c>
      <x:c r="B26" s="5">
        <x:v>22</x:v>
      </x:c>
      <x:c r="C26" s="5" t="s">
        <x:v>162</x:v>
      </x:c>
      <x:c r="D26" s="5">
        <x:v>30</x:v>
      </x:c>
      <x:c r="E26" s="5" t="s">
        <x:v>72</x:v>
      </x:c>
      <x:c r="F26" s="8" t="s">
        <x:v>163</x:v>
      </x:c>
      <x:c r="G26" s="8" t="s">
        <x:v>614</x:v>
      </x:c>
      <x:c r="H26" s="8" t="s">
        <x:v>615</x:v>
      </x:c>
      <x:c r="I26" s="8" t="s">
        <x:v>615</x:v>
      </x:c>
      <x:c r="J26" s="8" t="s">
        <x:v>616</x:v>
      </x:c>
      <x:c r="K26" s="5" t="s">
        <x:v>43</x:v>
      </x:c>
      <x:c r="L26" s="5" t="s">
        <x:v>240</x:v>
      </x:c>
      <x:c r="M26" s="5"/>
      <x:c r="N26" s="5" t="s">
        <x:v>166</x:v>
      </x:c>
    </x:row>
    <x:row r="27" ht="238">
      <x:c r="A27" s="5" t="s">
        <x:v>41</x:v>
      </x:c>
      <x:c r="B27" s="5">
        <x:v>23</x:v>
      </x:c>
      <x:c r="C27" s="5" t="s">
        <x:v>167</x:v>
      </x:c>
      <x:c r="D27" s="5">
        <x:v>31</x:v>
      </x:c>
      <x:c r="E27" s="5" t="s">
        <x:v>104</x:v>
      </x:c>
      <x:c r="F27" s="8" t="s">
        <x:v>168</x:v>
      </x:c>
      <x:c r="G27" s="8" t="s">
        <x:v>611</x:v>
      </x:c>
      <x:c r="H27" s="8" t="s">
        <x:v>588</x:v>
      </x:c>
      <x:c r="I27" s="8" t="s">
        <x:v>11</x:v>
      </x:c>
      <x:c r="J27" s="8" t="s">
        <x:v>617</x:v>
      </x:c>
      <x:c r="K27" s="5" t="s">
        <x:v>43</x:v>
      </x:c>
      <x:c r="L27" s="5" t="s">
        <x:v>240</x:v>
      </x:c>
      <x:c r="M27" s="5"/>
      <x:c r="N27" s="5" t="s">
        <x:v>170</x:v>
      </x:c>
    </x:row>
    <x:row r="28" ht="238">
      <x:c r="A28" s="5" t="s">
        <x:v>41</x:v>
      </x:c>
      <x:c r="B28" s="5">
        <x:v>24</x:v>
      </x:c>
      <x:c r="C28" s="5" t="s">
        <x:v>172</x:v>
      </x:c>
      <x:c r="D28" s="5">
        <x:v>40</x:v>
      </x:c>
      <x:c r="E28" s="5" t="s">
        <x:v>72</x:v>
      </x:c>
      <x:c r="F28" s="8" t="s">
        <x:v>173</x:v>
      </x:c>
      <x:c r="G28" s="8" t="s">
        <x:v>618</x:v>
      </x:c>
      <x:c r="H28" s="8" t="s">
        <x:v>16</x:v>
      </x:c>
      <x:c r="I28" s="8" t="s">
        <x:v>16</x:v>
      </x:c>
      <x:c r="J28" s="8" t="s">
        <x:v>619</x:v>
      </x:c>
      <x:c r="K28" s="5" t="s">
        <x:v>43</x:v>
      </x:c>
      <x:c r="L28" s="5" t="s">
        <x:v>240</x:v>
      </x:c>
      <x:c r="M28" s="5"/>
      <x:c r="N28" s="5" t="s">
        <x:v>174</x:v>
      </x:c>
    </x:row>
    <x:row r="29" ht="168">
      <x:c r="A29" s="5" t="s">
        <x:v>41</x:v>
      </x:c>
      <x:c r="B29" s="5">
        <x:v>25</x:v>
      </x:c>
      <x:c r="C29" s="5" t="s">
        <x:v>176</x:v>
      </x:c>
      <x:c r="D29" s="5">
        <x:v>18</x:v>
      </x:c>
      <x:c r="E29" s="5" t="s">
        <x:v>72</x:v>
      </x:c>
      <x:c r="F29" s="8" t="s">
        <x:v>177</x:v>
      </x:c>
      <x:c r="G29" s="8"/>
      <x:c r="H29" s="8" t="s">
        <x:v>620</x:v>
      </x:c>
      <x:c r="I29" s="8" t="s">
        <x:v>621</x:v>
      </x:c>
      <x:c r="J29" s="8" t="s">
        <x:v>622</x:v>
      </x:c>
      <x:c r="K29" s="5" t="s">
        <x:v>43</x:v>
      </x:c>
      <x:c r="L29" s="5" t="s">
        <x:v>240</x:v>
      </x:c>
      <x:c r="M29" s="5"/>
      <x:c r="N29" s="5" t="s">
        <x:v>180</x:v>
      </x:c>
    </x:row>
    <x:row r="30" ht="70">
      <x:c r="A30" s="5" t="s">
        <x:v>41</x:v>
      </x:c>
      <x:c r="B30" s="5">
        <x:v>26</x:v>
      </x:c>
      <x:c r="C30" s="5" t="s">
        <x:v>182</x:v>
      </x:c>
      <x:c r="D30" s="5">
        <x:v>20</x:v>
      </x:c>
      <x:c r="E30" s="5" t="s">
        <x:v>104</x:v>
      </x:c>
      <x:c r="F30" s="8" t="s">
        <x:v>183</x:v>
      </x:c>
      <x:c r="G30" s="8"/>
      <x:c r="H30" s="8" t="s">
        <x:v>623</x:v>
      </x:c>
      <x:c r="I30" s="8" t="s">
        <x:v>624</x:v>
      </x:c>
      <x:c r="J30" s="8" t="s">
        <x:v>625</x:v>
      </x:c>
      <x:c r="K30" s="5" t="s">
        <x:v>43</x:v>
      </x:c>
      <x:c r="L30" s="5" t="s">
        <x:v>240</x:v>
      </x:c>
      <x:c r="M30" s="5"/>
      <x:c r="N30" s="5" t="s">
        <x:v>186</x:v>
      </x:c>
    </x:row>
    <x:row r="31" ht="70">
      <x:c r="A31" s="5" t="s">
        <x:v>41</x:v>
      </x:c>
      <x:c r="B31" s="5">
        <x:v>27</x:v>
      </x:c>
      <x:c r="C31" s="5" t="s">
        <x:v>188</x:v>
      </x:c>
      <x:c r="D31" s="5">
        <x:v>17</x:v>
      </x:c>
      <x:c r="E31" s="5" t="s">
        <x:v>72</x:v>
      </x:c>
      <x:c r="F31" s="8" t="s">
        <x:v>189</x:v>
      </x:c>
      <x:c r="G31" s="8"/>
      <x:c r="H31" s="8" t="s">
        <x:v>546</x:v>
      </x:c>
      <x:c r="I31" s="8" t="s">
        <x:v>546</x:v>
      </x:c>
      <x:c r="J31" s="8" t="s">
        <x:v>626</x:v>
      </x:c>
      <x:c r="K31" s="5" t="s">
        <x:v>43</x:v>
      </x:c>
      <x:c r="L31" s="5" t="s">
        <x:v>240</x:v>
      </x:c>
      <x:c r="M31" s="5"/>
      <x:c r="N31" s="5" t="s">
        <x:v>190</x:v>
      </x:c>
    </x:row>
    <x:row r="32" ht="70">
      <x:c r="A32" s="5" t="s">
        <x:v>41</x:v>
      </x:c>
      <x:c r="B32" s="5">
        <x:v>28</x:v>
      </x:c>
      <x:c r="C32" s="5" t="s">
        <x:v>192</x:v>
      </x:c>
      <x:c r="D32" s="5">
        <x:v>10</x:v>
      </x:c>
      <x:c r="E32" s="5" t="s">
        <x:v>72</x:v>
      </x:c>
      <x:c r="F32" s="8" t="s">
        <x:v>193</x:v>
      </x:c>
      <x:c r="G32" s="8"/>
      <x:c r="H32" s="8" t="s">
        <x:v>627</x:v>
      </x:c>
      <x:c r="I32" s="8" t="s">
        <x:v>628</x:v>
      </x:c>
      <x:c r="J32" s="8" t="s">
        <x:v>629</x:v>
      </x:c>
      <x:c r="K32" s="5" t="s">
        <x:v>43</x:v>
      </x:c>
      <x:c r="L32" s="5" t="s">
        <x:v>240</x:v>
      </x:c>
      <x:c r="M32" s="5"/>
      <x:c r="N32" s="5" t="s">
        <x:v>196</x:v>
      </x:c>
    </x:row>
    <x:row r="33" ht="42">
      <x:c r="A33" s="5" t="s">
        <x:v>41</x:v>
      </x:c>
      <x:c r="B33" s="5">
        <x:v>29</x:v>
      </x:c>
      <x:c r="C33" s="5" t="s">
        <x:v>198</x:v>
      </x:c>
      <x:c r="D33" s="5">
        <x:v>12</x:v>
      </x:c>
      <x:c r="E33" s="5" t="s">
        <x:v>53</x:v>
      </x:c>
      <x:c r="F33" s="8" t="s">
        <x:v>199</x:v>
      </x:c>
      <x:c r="G33" s="8"/>
      <x:c r="H33" s="8" t="s">
        <x:v>15</x:v>
      </x:c>
      <x:c r="I33" s="8" t="s">
        <x:v>15</x:v>
      </x:c>
      <x:c r="J33" s="8" t="s">
        <x:v>586</x:v>
      </x:c>
      <x:c r="K33" s="5" t="s">
        <x:v>43</x:v>
      </x:c>
      <x:c r="L33" s="5" t="s">
        <x:v>240</x:v>
      </x:c>
      <x:c r="M33" s="5"/>
      <x:c r="N33" s="5" t="s">
        <x:v>200</x:v>
      </x:c>
    </x:row>
    <x:row r="34" ht="70">
      <x:c r="A34" s="5" t="s">
        <x:v>41</x:v>
      </x:c>
      <x:c r="B34" s="5">
        <x:v>30</x:v>
      </x:c>
      <x:c r="C34" s="5" t="s">
        <x:v>202</x:v>
      </x:c>
      <x:c r="D34" s="5">
        <x:v>30</x:v>
      </x:c>
      <x:c r="E34" s="5" t="s">
        <x:v>53</x:v>
      </x:c>
      <x:c r="F34" s="8" t="s">
        <x:v>203</x:v>
      </x:c>
      <x:c r="G34" s="8"/>
      <x:c r="H34" s="8" t="s">
        <x:v>630</x:v>
      </x:c>
      <x:c r="I34" s="8" t="s">
        <x:v>569</x:v>
      </x:c>
      <x:c r="J34" s="8" t="s">
        <x:v>631</x:v>
      </x:c>
      <x:c r="K34" s="5" t="s">
        <x:v>43</x:v>
      </x:c>
      <x:c r="L34" s="5" t="s">
        <x:v>240</x:v>
      </x:c>
      <x:c r="M34" s="5"/>
      <x:c r="N34" s="5" t="s">
        <x:v>206</x:v>
      </x:c>
    </x:row>
    <x:row r="35" ht="42">
      <x:c r="A35" s="5" t="s">
        <x:v>41</x:v>
      </x:c>
      <x:c r="B35" s="5">
        <x:v>31</x:v>
      </x:c>
      <x:c r="C35" s="5" t="s">
        <x:v>207</x:v>
      </x:c>
      <x:c r="D35" s="5">
        <x:v>28</x:v>
      </x:c>
      <x:c r="E35" s="5" t="s">
        <x:v>104</x:v>
      </x:c>
      <x:c r="F35" s="8" t="s">
        <x:v>208</x:v>
      </x:c>
      <x:c r="G35" s="8"/>
      <x:c r="H35" s="8" t="s">
        <x:v>632</x:v>
      </x:c>
      <x:c r="I35" s="8" t="s">
        <x:v>632</x:v>
      </x:c>
      <x:c r="J35" s="8" t="s">
        <x:v>633</x:v>
      </x:c>
      <x:c r="K35" s="5" t="s">
        <x:v>43</x:v>
      </x:c>
      <x:c r="L35" s="5" t="s">
        <x:v>240</x:v>
      </x:c>
      <x:c r="M35" s="5"/>
      <x:c r="N35" s="5" t="s">
        <x:v>210</x:v>
      </x:c>
    </x:row>
    <x:row r="36" ht="70">
      <x:c r="A36" s="5" t="s">
        <x:v>212</x:v>
      </x:c>
      <x:c r="B36" s="5">
        <x:v>1</x:v>
      </x:c>
      <x:c r="C36" s="5" t="s">
        <x:v>213</x:v>
      </x:c>
      <x:c r="D36" s="5">
        <x:v>15</x:v>
      </x:c>
      <x:c r="E36" s="5" t="s">
        <x:v>72</x:v>
      </x:c>
      <x:c r="F36" s="8" t="s">
        <x:v>214</x:v>
      </x:c>
      <x:c r="G36" s="8"/>
      <x:c r="H36" s="8" t="s">
        <x:v>634</x:v>
      </x:c>
      <x:c r="I36" s="8" t="s">
        <x:v>634</x:v>
      </x:c>
      <x:c r="J36" s="8" t="s">
        <x:v>635</x:v>
      </x:c>
      <x:c r="K36" s="5" t="s">
        <x:v>43</x:v>
      </x:c>
      <x:c r="L36" s="5" t="s">
        <x:v>240</x:v>
      </x:c>
      <x:c r="M36" s="5"/>
      <x:c r="N36" s="5" t="s">
        <x:v>216</x:v>
      </x:c>
    </x:row>
    <x:row r="37" ht="154">
      <x:c r="A37" s="5" t="s">
        <x:v>212</x:v>
      </x:c>
      <x:c r="B37" s="5">
        <x:v>2</x:v>
      </x:c>
      <x:c r="C37" s="5" t="s">
        <x:v>218</x:v>
      </x:c>
      <x:c r="D37" s="5">
        <x:v>14</x:v>
      </x:c>
      <x:c r="E37" s="5" t="s">
        <x:v>53</x:v>
      </x:c>
      <x:c r="F37" s="8" t="s">
        <x:v>219</x:v>
      </x:c>
      <x:c r="G37" s="8" t="s">
        <x:v>636</x:v>
      </x:c>
      <x:c r="H37" s="8" t="s">
        <x:v>637</x:v>
      </x:c>
      <x:c r="I37" s="8" t="s">
        <x:v>638</x:v>
      </x:c>
      <x:c r="J37" s="8" t="s">
        <x:v>639</x:v>
      </x:c>
      <x:c r="K37" s="5" t="s">
        <x:v>43</x:v>
      </x:c>
      <x:c r="L37" s="5" t="s">
        <x:v>240</x:v>
      </x:c>
      <x:c r="M37" s="5"/>
      <x:c r="N37" s="5" t="s">
        <x:v>222</x:v>
      </x:c>
    </x:row>
    <x:row r="38" ht="56">
      <x:c r="A38" s="5" t="s">
        <x:v>212</x:v>
      </x:c>
      <x:c r="B38" s="5">
        <x:v>3</x:v>
      </x:c>
      <x:c r="C38" s="5" t="s">
        <x:v>223</x:v>
      </x:c>
      <x:c r="D38" s="5">
        <x:v>11</x:v>
      </x:c>
      <x:c r="E38" s="5" t="s">
        <x:v>43</x:v>
      </x:c>
      <x:c r="F38" s="8" t="s">
        <x:v>224</x:v>
      </x:c>
      <x:c r="G38" s="8"/>
      <x:c r="H38" s="8" t="s">
        <x:v>22</x:v>
      </x:c>
      <x:c r="I38" s="8" t="s">
        <x:v>22</x:v>
      </x:c>
      <x:c r="J38" s="8" t="s">
        <x:v>225</x:v>
      </x:c>
      <x:c r="K38" s="5" t="s">
        <x:v>43</x:v>
      </x:c>
      <x:c r="L38" s="5" t="s">
        <x:v>240</x:v>
      </x:c>
      <x:c r="M38" s="5"/>
      <x:c r="N38" s="5" t="s">
        <x:v>226</x:v>
      </x:c>
    </x:row>
    <x:row r="39">
      <x:c r="A39" s="5" t="s">
        <x:v>212</x:v>
      </x:c>
      <x:c r="B39" s="5">
        <x:v>4</x:v>
      </x:c>
      <x:c r="C39" s="5" t="s">
        <x:v>227</x:v>
      </x:c>
      <x:c r="D39" s="5">
        <x:v>15</x:v>
      </x:c>
      <x:c r="E39" s="5" t="s">
        <x:v>72</x:v>
      </x:c>
      <x:c r="F39" s="8" t="s">
        <x:v>228</x:v>
      </x:c>
      <x:c r="G39" s="8"/>
      <x:c r="H39" s="8" t="s">
        <x:v>14</x:v>
      </x:c>
      <x:c r="I39" s="8" t="s">
        <x:v>14</x:v>
      </x:c>
      <x:c r="J39" s="8" t="s">
        <x:v>640</x:v>
      </x:c>
      <x:c r="K39" s="5" t="s">
        <x:v>43</x:v>
      </x:c>
      <x:c r="L39" s="5" t="s">
        <x:v>240</x:v>
      </x:c>
      <x:c r="M39" s="5"/>
      <x:c r="N39" s="5" t="s">
        <x:v>231</x:v>
      </x:c>
    </x:row>
    <x:row r="40" ht="84">
      <x:c r="A40" s="5" t="s">
        <x:v>212</x:v>
      </x:c>
      <x:c r="B40" s="5">
        <x:v>5</x:v>
      </x:c>
      <x:c r="C40" s="5" t="s">
        <x:v>232</x:v>
      </x:c>
      <x:c r="D40" s="5">
        <x:v>6</x:v>
      </x:c>
      <x:c r="E40" s="5" t="s">
        <x:v>72</x:v>
      </x:c>
      <x:c r="F40" s="8" t="s">
        <x:v>233</x:v>
      </x:c>
      <x:c r="G40" s="8"/>
      <x:c r="H40" s="8" t="s">
        <x:v>14</x:v>
      </x:c>
      <x:c r="I40" s="8"/>
      <x:c r="J40" s="8" t="s">
        <x:v>641</x:v>
      </x:c>
      <x:c r="K40" s="5" t="s">
        <x:v>72</x:v>
      </x:c>
      <x:c r="L40" s="5" t="s">
        <x:v>240</x:v>
      </x:c>
      <x:c r="M40" s="5"/>
      <x:c r="N40" s="5" t="s">
        <x:v>235</x:v>
      </x:c>
    </x:row>
    <x:row r="41" ht="70">
      <x:c r="A41" s="5" t="s">
        <x:v>212</x:v>
      </x:c>
      <x:c r="B41" s="5">
        <x:v>6</x:v>
      </x:c>
      <x:c r="C41" s="5" t="s">
        <x:v>236</x:v>
      </x:c>
      <x:c r="D41" s="5">
        <x:v>25</x:v>
      </x:c>
      <x:c r="E41" s="5" t="s">
        <x:v>43</x:v>
      </x:c>
      <x:c r="F41" s="8" t="s">
        <x:v>237</x:v>
      </x:c>
      <x:c r="G41" s="8"/>
      <x:c r="H41" s="8" t="s">
        <x:v>11</x:v>
      </x:c>
      <x:c r="I41" s="8" t="s">
        <x:v>11</x:v>
      </x:c>
      <x:c r="J41" s="8" t="s">
        <x:v>642</x:v>
      </x:c>
      <x:c r="K41" s="5" t="s">
        <x:v>43</x:v>
      </x:c>
      <x:c r="L41" s="5" t="s">
        <x:v>240</x:v>
      </x:c>
      <x:c r="M41" s="5"/>
      <x:c r="N41" s="5" t="s">
        <x:v>239</x:v>
      </x:c>
    </x:row>
    <x:row r="42" ht="70">
      <x:c r="A42" s="5" t="s">
        <x:v>212</x:v>
      </x:c>
      <x:c r="B42" s="5">
        <x:v>7</x:v>
      </x:c>
      <x:c r="C42" s="5" t="s">
        <x:v>242</x:v>
      </x:c>
      <x:c r="D42" s="5">
        <x:v>23</x:v>
      </x:c>
      <x:c r="E42" s="5" t="s">
        <x:v>89</x:v>
      </x:c>
      <x:c r="F42" s="8" t="s">
        <x:v>243</x:v>
      </x:c>
      <x:c r="G42" s="8"/>
      <x:c r="H42" s="8" t="s">
        <x:v>612</x:v>
      </x:c>
      <x:c r="I42" s="8" t="s">
        <x:v>612</x:v>
      </x:c>
      <x:c r="J42" s="8" t="s">
        <x:v>643</x:v>
      </x:c>
      <x:c r="K42" s="5" t="s">
        <x:v>43</x:v>
      </x:c>
      <x:c r="L42" s="5" t="s">
        <x:v>240</x:v>
      </x:c>
      <x:c r="M42" s="5"/>
      <x:c r="N42" s="5" t="s">
        <x:v>245</x:v>
      </x:c>
    </x:row>
    <x:row r="43">
      <x:c r="A43" s="5" t="s">
        <x:v>212</x:v>
      </x:c>
      <x:c r="B43" s="5">
        <x:v>8</x:v>
      </x:c>
      <x:c r="C43" s="5" t="s">
        <x:v>247</x:v>
      </x:c>
      <x:c r="D43" s="5">
        <x:v>12</x:v>
      </x:c>
      <x:c r="E43" s="5" t="s">
        <x:v>72</x:v>
      </x:c>
      <x:c r="F43" s="8" t="s">
        <x:v>248</x:v>
      </x:c>
      <x:c r="G43" s="8"/>
      <x:c r="H43" s="8" t="s">
        <x:v>21</x:v>
      </x:c>
      <x:c r="I43" s="8" t="s">
        <x:v>21</x:v>
      </x:c>
      <x:c r="J43" s="8" t="s">
        <x:v>249</x:v>
      </x:c>
      <x:c r="K43" s="5" t="s">
        <x:v>43</x:v>
      </x:c>
      <x:c r="L43" s="5" t="s">
        <x:v>240</x:v>
      </x:c>
      <x:c r="M43" s="5"/>
      <x:c r="N43" s="5" t="s">
        <x:v>250</x:v>
      </x:c>
    </x:row>
    <x:row r="44" ht="140">
      <x:c r="A44" s="5" t="s">
        <x:v>212</x:v>
      </x:c>
      <x:c r="B44" s="5">
        <x:v>9</x:v>
      </x:c>
      <x:c r="C44" s="5" t="s">
        <x:v>251</x:v>
      </x:c>
      <x:c r="D44" s="5">
        <x:v>13</x:v>
      </x:c>
      <x:c r="E44" s="5" t="s">
        <x:v>89</x:v>
      </x:c>
      <x:c r="F44" s="8" t="s">
        <x:v>252</x:v>
      </x:c>
      <x:c r="G44" s="8" t="s">
        <x:v>644</x:v>
      </x:c>
      <x:c r="H44" s="8" t="s">
        <x:v>17</x:v>
      </x:c>
      <x:c r="I44" s="8" t="s">
        <x:v>17</x:v>
      </x:c>
      <x:c r="J44" s="8" t="s">
        <x:v>253</x:v>
      </x:c>
      <x:c r="K44" s="5" t="s">
        <x:v>43</x:v>
      </x:c>
      <x:c r="L44" s="5" t="s">
        <x:v>240</x:v>
      </x:c>
      <x:c r="M44" s="5"/>
      <x:c r="N44" s="5" t="s">
        <x:v>254</x:v>
      </x:c>
    </x:row>
    <x:row r="45" ht="70">
      <x:c r="A45" s="5" t="s">
        <x:v>212</x:v>
      </x:c>
      <x:c r="B45" s="5">
        <x:v>10</x:v>
      </x:c>
      <x:c r="C45" s="5" t="s">
        <x:v>256</x:v>
      </x:c>
      <x:c r="D45" s="5">
        <x:v>14</x:v>
      </x:c>
      <x:c r="E45" s="5" t="s">
        <x:v>72</x:v>
      </x:c>
      <x:c r="F45" s="8" t="s">
        <x:v>257</x:v>
      </x:c>
      <x:c r="G45" s="8" t="s">
        <x:v>645</x:v>
      </x:c>
      <x:c r="H45" s="8"/>
      <x:c r="I45" s="8"/>
      <x:c r="J45" s="8"/>
      <x:c r="K45" s="5" t="s">
        <x:v>74</x:v>
      </x:c>
      <x:c r="L45" s="5" t="s">
        <x:v>240</x:v>
      </x:c>
      <x:c r="M45" s="5"/>
      <x:c r="N45" s="5" t="s">
        <x:v>258</x:v>
      </x:c>
    </x:row>
    <x:row r="46" ht="42">
      <x:c r="A46" s="5" t="s">
        <x:v>212</x:v>
      </x:c>
      <x:c r="B46" s="5">
        <x:v>11</x:v>
      </x:c>
      <x:c r="C46" s="5" t="s">
        <x:v>259</x:v>
      </x:c>
      <x:c r="D46" s="5">
        <x:v>13</x:v>
      </x:c>
      <x:c r="E46" s="5" t="s">
        <x:v>89</x:v>
      </x:c>
      <x:c r="F46" s="8" t="s">
        <x:v>260</x:v>
      </x:c>
      <x:c r="G46" s="8"/>
      <x:c r="H46" s="8" t="s">
        <x:v>15</x:v>
      </x:c>
      <x:c r="I46" s="8" t="s">
        <x:v>15</x:v>
      </x:c>
      <x:c r="J46" s="8" t="s">
        <x:v>646</x:v>
      </x:c>
      <x:c r="K46" s="5" t="s">
        <x:v>43</x:v>
      </x:c>
      <x:c r="L46" s="5" t="s">
        <x:v>240</x:v>
      </x:c>
      <x:c r="M46" s="5"/>
      <x:c r="N46" s="5" t="s">
        <x:v>262</x:v>
      </x:c>
    </x:row>
    <x:row r="47" ht="42">
      <x:c r="A47" s="5" t="s">
        <x:v>212</x:v>
      </x:c>
      <x:c r="B47" s="5">
        <x:v>12</x:v>
      </x:c>
      <x:c r="C47" s="5" t="s">
        <x:v>263</x:v>
      </x:c>
      <x:c r="D47" s="5">
        <x:v>8</x:v>
      </x:c>
      <x:c r="E47" s="5" t="s">
        <x:v>72</x:v>
      </x:c>
      <x:c r="F47" s="8" t="s">
        <x:v>264</x:v>
      </x:c>
      <x:c r="G47" s="8"/>
      <x:c r="H47" s="8" t="s">
        <x:v>549</x:v>
      </x:c>
      <x:c r="I47" s="8" t="s">
        <x:v>549</x:v>
      </x:c>
      <x:c r="J47" s="8" t="s">
        <x:v>647</x:v>
      </x:c>
      <x:c r="K47" s="5" t="s">
        <x:v>43</x:v>
      </x:c>
      <x:c r="L47" s="5" t="s">
        <x:v>240</x:v>
      </x:c>
      <x:c r="M47" s="5"/>
      <x:c r="N47" s="5" t="s">
        <x:v>265</x:v>
      </x:c>
    </x:row>
    <x:row r="48" ht="98">
      <x:c r="A48" s="5" t="s">
        <x:v>212</x:v>
      </x:c>
      <x:c r="B48" s="5">
        <x:v>13</x:v>
      </x:c>
      <x:c r="C48" s="5" t="s">
        <x:v>267</x:v>
      </x:c>
      <x:c r="D48" s="5">
        <x:v>20</x:v>
      </x:c>
      <x:c r="E48" s="5" t="s">
        <x:v>43</x:v>
      </x:c>
      <x:c r="F48" s="8" t="s">
        <x:v>268</x:v>
      </x:c>
      <x:c r="G48" s="8"/>
      <x:c r="H48" s="8" t="s">
        <x:v>648</x:v>
      </x:c>
      <x:c r="I48" s="8"/>
      <x:c r="J48" s="8" t="s">
        <x:v>649</x:v>
      </x:c>
      <x:c r="K48" s="5" t="s">
        <x:v>72</x:v>
      </x:c>
      <x:c r="L48" s="5" t="s">
        <x:v>240</x:v>
      </x:c>
      <x:c r="M48" s="5"/>
      <x:c r="N48" s="5" t="s">
        <x:v>270</x:v>
      </x:c>
    </x:row>
    <x:row r="49" ht="154">
      <x:c r="A49" s="5" t="s">
        <x:v>212</x:v>
      </x:c>
      <x:c r="B49" s="5">
        <x:v>14</x:v>
      </x:c>
      <x:c r="C49" s="5" t="s">
        <x:v>272</x:v>
      </x:c>
      <x:c r="D49" s="5">
        <x:v>22</x:v>
      </x:c>
      <x:c r="E49" s="5" t="s">
        <x:v>89</x:v>
      </x:c>
      <x:c r="F49" s="8" t="s">
        <x:v>273</x:v>
      </x:c>
      <x:c r="G49" s="8" t="s">
        <x:v>636</x:v>
      </x:c>
      <x:c r="H49" s="8" t="s">
        <x:v>615</x:v>
      </x:c>
      <x:c r="I49" s="8" t="s">
        <x:v>615</x:v>
      </x:c>
      <x:c r="J49" s="8" t="s">
        <x:v>650</x:v>
      </x:c>
      <x:c r="K49" s="5" t="s">
        <x:v>43</x:v>
      </x:c>
      <x:c r="L49" s="5" t="s">
        <x:v>240</x:v>
      </x:c>
      <x:c r="M49" s="5"/>
      <x:c r="N49" s="5" t="s">
        <x:v>275</x:v>
      </x:c>
    </x:row>
    <x:row r="50" ht="112">
      <x:c r="A50" s="5" t="s">
        <x:v>212</x:v>
      </x:c>
      <x:c r="B50" s="5">
        <x:v>15</x:v>
      </x:c>
      <x:c r="C50" s="5" t="s">
        <x:v>277</x:v>
      </x:c>
      <x:c r="D50" s="5">
        <x:v>15</x:v>
      </x:c>
      <x:c r="E50" s="5" t="s">
        <x:v>72</x:v>
      </x:c>
      <x:c r="F50" s="8" t="s">
        <x:v>278</x:v>
      </x:c>
      <x:c r="G50" s="8"/>
      <x:c r="H50" s="8"/>
      <x:c r="I50" s="8"/>
      <x:c r="J50" s="8"/>
      <x:c r="K50" s="5" t="s">
        <x:v>74</x:v>
      </x:c>
      <x:c r="L50" s="5" t="s">
        <x:v>240</x:v>
      </x:c>
      <x:c r="M50" s="5"/>
      <x:c r="N50" s="5" t="s">
        <x:v>279</x:v>
      </x:c>
    </x:row>
    <x:row r="51">
      <x:c r="A51" s="5" t="s">
        <x:v>212</x:v>
      </x:c>
      <x:c r="B51" s="5">
        <x:v>16</x:v>
      </x:c>
      <x:c r="C51" s="5" t="s">
        <x:v>280</x:v>
      </x:c>
      <x:c r="D51" s="5">
        <x:v>15</x:v>
      </x:c>
      <x:c r="E51" s="5" t="s">
        <x:v>72</x:v>
      </x:c>
      <x:c r="F51" s="8" t="s">
        <x:v>281</x:v>
      </x:c>
      <x:c r="G51" s="8"/>
      <x:c r="H51" s="8" t="s">
        <x:v>17</x:v>
      </x:c>
      <x:c r="I51" s="8" t="s">
        <x:v>17</x:v>
      </x:c>
      <x:c r="J51" s="8" t="s">
        <x:v>282</x:v>
      </x:c>
      <x:c r="K51" s="5" t="s">
        <x:v>43</x:v>
      </x:c>
      <x:c r="L51" s="5" t="s">
        <x:v>240</x:v>
      </x:c>
      <x:c r="M51" s="5"/>
      <x:c r="N51" s="5" t="s">
        <x:v>283</x:v>
      </x:c>
    </x:row>
    <x:row r="52" ht="28">
      <x:c r="A52" s="5" t="s">
        <x:v>212</x:v>
      </x:c>
      <x:c r="B52" s="5">
        <x:v>17</x:v>
      </x:c>
      <x:c r="C52" s="5" t="s">
        <x:v>284</x:v>
      </x:c>
      <x:c r="D52" s="5">
        <x:v>9</x:v>
      </x:c>
      <x:c r="E52" s="5" t="s">
        <x:v>43</x:v>
      </x:c>
      <x:c r="F52" s="8" t="s">
        <x:v>285</x:v>
      </x:c>
      <x:c r="G52" s="8"/>
      <x:c r="H52" s="8" t="s">
        <x:v>651</x:v>
      </x:c>
      <x:c r="I52" s="8" t="s">
        <x:v>651</x:v>
      </x:c>
      <x:c r="J52" s="8" t="s">
        <x:v>652</x:v>
      </x:c>
      <x:c r="K52" s="5" t="s">
        <x:v>43</x:v>
      </x:c>
      <x:c r="L52" s="5" t="s">
        <x:v>240</x:v>
      </x:c>
      <x:c r="M52" s="5"/>
      <x:c r="N52" s="5" t="s">
        <x:v>288</x:v>
      </x:c>
    </x:row>
    <x:row r="53" ht="154">
      <x:c r="A53" s="5" t="s">
        <x:v>212</x:v>
      </x:c>
      <x:c r="B53" s="5">
        <x:v>18</x:v>
      </x:c>
      <x:c r="C53" s="5" t="s">
        <x:v>289</x:v>
      </x:c>
      <x:c r="D53" s="5">
        <x:v>18</x:v>
      </x:c>
      <x:c r="E53" s="5" t="s">
        <x:v>89</x:v>
      </x:c>
      <x:c r="F53" s="8" t="s">
        <x:v>290</x:v>
      </x:c>
      <x:c r="G53" s="8" t="s">
        <x:v>636</x:v>
      </x:c>
      <x:c r="H53" s="8" t="s">
        <x:v>653</x:v>
      </x:c>
      <x:c r="I53" s="8" t="s">
        <x:v>632</x:v>
      </x:c>
      <x:c r="J53" s="8" t="s">
        <x:v>654</x:v>
      </x:c>
      <x:c r="K53" s="5" t="s">
        <x:v>43</x:v>
      </x:c>
      <x:c r="L53" s="5" t="s">
        <x:v>240</x:v>
      </x:c>
      <x:c r="M53" s="5"/>
      <x:c r="N53" s="5" t="s">
        <x:v>293</x:v>
      </x:c>
    </x:row>
    <x:row r="54" ht="70">
      <x:c r="A54" s="5" t="s">
        <x:v>212</x:v>
      </x:c>
      <x:c r="B54" s="5">
        <x:v>19</x:v>
      </x:c>
      <x:c r="C54" s="5" t="s">
        <x:v>295</x:v>
      </x:c>
      <x:c r="D54" s="5">
        <x:v>7</x:v>
      </x:c>
      <x:c r="E54" s="5" t="s">
        <x:v>89</x:v>
      </x:c>
      <x:c r="F54" s="8" t="s">
        <x:v>296</x:v>
      </x:c>
      <x:c r="G54" s="8"/>
      <x:c r="H54" s="8" t="s">
        <x:v>628</x:v>
      </x:c>
      <x:c r="I54" s="8" t="s">
        <x:v>628</x:v>
      </x:c>
      <x:c r="J54" s="8" t="s">
        <x:v>655</x:v>
      </x:c>
      <x:c r="K54" s="5" t="s">
        <x:v>43</x:v>
      </x:c>
      <x:c r="L54" s="5" t="s">
        <x:v>240</x:v>
      </x:c>
      <x:c r="M54" s="5"/>
      <x:c r="N54" s="5" t="s">
        <x:v>297</x:v>
      </x:c>
    </x:row>
    <x:row r="55" ht="70">
      <x:c r="A55" s="5" t="s">
        <x:v>212</x:v>
      </x:c>
      <x:c r="B55" s="5">
        <x:v>20</x:v>
      </x:c>
      <x:c r="C55" s="5" t="s">
        <x:v>298</x:v>
      </x:c>
      <x:c r="D55" s="5">
        <x:v>20</x:v>
      </x:c>
      <x:c r="E55" s="5" t="s">
        <x:v>43</x:v>
      </x:c>
      <x:c r="F55" s="8" t="s">
        <x:v>299</x:v>
      </x:c>
      <x:c r="G55" s="8"/>
      <x:c r="H55" s="8" t="s">
        <x:v>623</x:v>
      </x:c>
      <x:c r="I55" s="8" t="s">
        <x:v>624</x:v>
      </x:c>
      <x:c r="J55" s="8" t="s">
        <x:v>656</x:v>
      </x:c>
      <x:c r="K55" s="5" t="s">
        <x:v>43</x:v>
      </x:c>
      <x:c r="L55" s="5" t="s">
        <x:v>240</x:v>
      </x:c>
      <x:c r="M55" s="5"/>
      <x:c r="N55" s="5" t="s">
        <x:v>301</x:v>
      </x:c>
    </x:row>
    <x:row r="56" ht="140">
      <x:c r="A56" s="5" t="s">
        <x:v>212</x:v>
      </x:c>
      <x:c r="B56" s="5">
        <x:v>21</x:v>
      </x:c>
      <x:c r="C56" s="5" t="s">
        <x:v>303</x:v>
      </x:c>
      <x:c r="D56" s="5">
        <x:v>18</x:v>
      </x:c>
      <x:c r="E56" s="5" t="s">
        <x:v>89</x:v>
      </x:c>
      <x:c r="F56" s="8" t="s">
        <x:v>304</x:v>
      </x:c>
      <x:c r="G56" s="8" t="s">
        <x:v>657</x:v>
      </x:c>
      <x:c r="H56" s="8" t="s">
        <x:v>658</x:v>
      </x:c>
      <x:c r="I56" s="8" t="s">
        <x:v>658</x:v>
      </x:c>
      <x:c r="J56" s="8" t="s">
        <x:v>659</x:v>
      </x:c>
      <x:c r="K56" s="5" t="s">
        <x:v>43</x:v>
      </x:c>
      <x:c r="L56" s="5" t="s">
        <x:v>240</x:v>
      </x:c>
      <x:c r="M56" s="5"/>
      <x:c r="N56" s="5" t="s">
        <x:v>306</x:v>
      </x:c>
    </x:row>
    <x:row r="57" ht="126">
      <x:c r="A57" s="5" t="s">
        <x:v>212</x:v>
      </x:c>
      <x:c r="B57" s="5">
        <x:v>22</x:v>
      </x:c>
      <x:c r="C57" s="5" t="s">
        <x:v>308</x:v>
      </x:c>
      <x:c r="D57" s="5">
        <x:v>15</x:v>
      </x:c>
      <x:c r="E57" s="5" t="s">
        <x:v>72</x:v>
      </x:c>
      <x:c r="F57" s="8" t="s">
        <x:v>309</x:v>
      </x:c>
      <x:c r="G57" s="8" t="s">
        <x:v>660</x:v>
      </x:c>
      <x:c r="H57" s="8" t="s">
        <x:v>661</x:v>
      </x:c>
      <x:c r="I57" s="8" t="s">
        <x:v>21</x:v>
      </x:c>
      <x:c r="J57" s="8" t="s">
        <x:v>662</x:v>
      </x:c>
      <x:c r="K57" s="5" t="s">
        <x:v>43</x:v>
      </x:c>
      <x:c r="L57" s="5" t="s">
        <x:v>240</x:v>
      </x:c>
      <x:c r="M57" s="5"/>
      <x:c r="N57" s="5" t="s">
        <x:v>311</x:v>
      </x:c>
    </x:row>
    <x:row r="58" ht="154">
      <x:c r="A58" s="5" t="s">
        <x:v>212</x:v>
      </x:c>
      <x:c r="B58" s="5">
        <x:v>23</x:v>
      </x:c>
      <x:c r="C58" s="5" t="s">
        <x:v>312</x:v>
      </x:c>
      <x:c r="D58" s="5">
        <x:v>15</x:v>
      </x:c>
      <x:c r="E58" s="5" t="s">
        <x:v>72</x:v>
      </x:c>
      <x:c r="F58" s="8" t="s">
        <x:v>313</x:v>
      </x:c>
      <x:c r="G58" s="8" t="s">
        <x:v>636</x:v>
      </x:c>
      <x:c r="H58" s="8" t="s">
        <x:v>604</x:v>
      </x:c>
      <x:c r="I58" s="8" t="s">
        <x:v>17</x:v>
      </x:c>
      <x:c r="J58" s="8" t="s">
        <x:v>663</x:v>
      </x:c>
      <x:c r="K58" s="5" t="s">
        <x:v>43</x:v>
      </x:c>
      <x:c r="L58" s="5" t="s">
        <x:v>240</x:v>
      </x:c>
      <x:c r="M58" s="5"/>
      <x:c r="N58" s="5" t="s">
        <x:v>315</x:v>
      </x:c>
    </x:row>
    <x:row r="59" ht="168">
      <x:c r="A59" s="5" t="s">
        <x:v>212</x:v>
      </x:c>
      <x:c r="B59" s="5">
        <x:v>24</x:v>
      </x:c>
      <x:c r="C59" s="5" t="s">
        <x:v>317</x:v>
      </x:c>
      <x:c r="D59" s="5">
        <x:v>10</x:v>
      </x:c>
      <x:c r="E59" s="5" t="s">
        <x:v>104</x:v>
      </x:c>
      <x:c r="F59" s="8" t="s">
        <x:v>318</x:v>
      </x:c>
      <x:c r="G59" s="8" t="s">
        <x:v>664</x:v>
      </x:c>
      <x:c r="H59" s="8" t="s">
        <x:v>651</x:v>
      </x:c>
      <x:c r="I59" s="8" t="s">
        <x:v>11</x:v>
      </x:c>
      <x:c r="J59" s="8" t="s">
        <x:v>665</x:v>
      </x:c>
      <x:c r="K59" s="5" t="s">
        <x:v>43</x:v>
      </x:c>
      <x:c r="L59" s="5" t="s">
        <x:v>240</x:v>
      </x:c>
      <x:c r="M59" s="5"/>
      <x:c r="N59" s="5" t="s">
        <x:v>320</x:v>
      </x:c>
    </x:row>
    <x:row r="60" ht="28">
      <x:c r="A60" s="5" t="s">
        <x:v>212</x:v>
      </x:c>
      <x:c r="B60" s="5">
        <x:v>25</x:v>
      </x:c>
      <x:c r="C60" s="5" t="s">
        <x:v>321</x:v>
      </x:c>
      <x:c r="D60" s="5">
        <x:v>16</x:v>
      </x:c>
      <x:c r="E60" s="5" t="s">
        <x:v>72</x:v>
      </x:c>
      <x:c r="F60" s="8" t="s">
        <x:v>322</x:v>
      </x:c>
      <x:c r="G60" s="8"/>
      <x:c r="H60" s="8"/>
      <x:c r="I60" s="8"/>
      <x:c r="J60" s="8"/>
      <x:c r="K60" s="5" t="s">
        <x:v>74</x:v>
      </x:c>
      <x:c r="L60" s="5" t="s">
        <x:v>240</x:v>
      </x:c>
      <x:c r="M60" s="5"/>
      <x:c r="N60" s="5" t="s">
        <x:v>323</x:v>
      </x:c>
    </x:row>
    <x:row r="61" ht="140">
      <x:c r="A61" s="5" t="s">
        <x:v>212</x:v>
      </x:c>
      <x:c r="B61" s="5">
        <x:v>26</x:v>
      </x:c>
      <x:c r="C61" s="5" t="s">
        <x:v>325</x:v>
      </x:c>
      <x:c r="D61" s="5">
        <x:v>13</x:v>
      </x:c>
      <x:c r="E61" s="5" t="s">
        <x:v>53</x:v>
      </x:c>
      <x:c r="F61" s="8" t="s">
        <x:v>326</x:v>
      </x:c>
      <x:c r="G61" s="8" t="s">
        <x:v>666</x:v>
      </x:c>
      <x:c r="H61" s="8" t="s">
        <x:v>667</x:v>
      </x:c>
      <x:c r="I61" s="8" t="s">
        <x:v>14</x:v>
      </x:c>
      <x:c r="J61" s="8" t="s">
        <x:v>668</x:v>
      </x:c>
      <x:c r="K61" s="5" t="s">
        <x:v>43</x:v>
      </x:c>
      <x:c r="L61" s="5" t="s">
        <x:v>240</x:v>
      </x:c>
      <x:c r="M61" s="5"/>
      <x:c r="N61" s="5" t="s">
        <x:v>329</x:v>
      </x:c>
    </x:row>
    <x:row r="62" ht="56">
      <x:c r="A62" s="5" t="s">
        <x:v>212</x:v>
      </x:c>
      <x:c r="B62" s="5">
        <x:v>27</x:v>
      </x:c>
      <x:c r="C62" s="5" t="s">
        <x:v>330</x:v>
      </x:c>
      <x:c r="D62" s="5">
        <x:v>19</x:v>
      </x:c>
      <x:c r="E62" s="5" t="s">
        <x:v>43</x:v>
      </x:c>
      <x:c r="F62" s="8" t="s">
        <x:v>331</x:v>
      </x:c>
      <x:c r="G62" s="8" t="s">
        <x:v>669</x:v>
      </x:c>
      <x:c r="H62" s="8" t="s">
        <x:v>18</x:v>
      </x:c>
      <x:c r="I62" s="8"/>
      <x:c r="J62" s="8" t="s">
        <x:v>670</x:v>
      </x:c>
      <x:c r="K62" s="5" t="s">
        <x:v>72</x:v>
      </x:c>
      <x:c r="L62" s="5" t="s">
        <x:v>240</x:v>
      </x:c>
      <x:c r="M62" s="5"/>
      <x:c r="N62" s="5" t="s">
        <x:v>333</x:v>
      </x:c>
    </x:row>
    <x:row r="63" ht="154">
      <x:c r="A63" s="5" t="s">
        <x:v>212</x:v>
      </x:c>
      <x:c r="B63" s="5">
        <x:v>28</x:v>
      </x:c>
      <x:c r="C63" s="5" t="s">
        <x:v>334</x:v>
      </x:c>
      <x:c r="D63" s="5">
        <x:v>24</x:v>
      </x:c>
      <x:c r="E63" s="5" t="s">
        <x:v>89</x:v>
      </x:c>
      <x:c r="F63" s="8" t="s">
        <x:v>335</x:v>
      </x:c>
      <x:c r="G63" s="8" t="s">
        <x:v>636</x:v>
      </x:c>
      <x:c r="H63" s="8" t="s">
        <x:v>671</x:v>
      </x:c>
      <x:c r="I63" s="8" t="s">
        <x:v>23</x:v>
      </x:c>
      <x:c r="J63" s="8" t="s">
        <x:v>672</x:v>
      </x:c>
      <x:c r="K63" s="5" t="s">
        <x:v>43</x:v>
      </x:c>
      <x:c r="L63" s="5" t="s">
        <x:v>240</x:v>
      </x:c>
      <x:c r="M63" s="5"/>
      <x:c r="N63" s="5" t="s">
        <x:v>338</x:v>
      </x:c>
    </x:row>
    <x:row r="64" ht="42">
      <x:c r="A64" s="5" t="s">
        <x:v>212</x:v>
      </x:c>
      <x:c r="B64" s="5">
        <x:v>54</x:v>
      </x:c>
      <x:c r="C64" s="5" t="s">
        <x:v>340</x:v>
      </x:c>
      <x:c r="D64" s="5">
        <x:v>15</x:v>
      </x:c>
      <x:c r="E64" s="5" t="s">
        <x:v>72</x:v>
      </x:c>
      <x:c r="F64" s="8" t="s">
        <x:v>341</x:v>
      </x:c>
      <x:c r="G64" s="8"/>
      <x:c r="H64" s="8" t="s">
        <x:v>14</x:v>
      </x:c>
      <x:c r="I64" s="8" t="s">
        <x:v>14</x:v>
      </x:c>
      <x:c r="J64" s="8" t="s">
        <x:v>673</x:v>
      </x:c>
      <x:c r="K64" s="5" t="s">
        <x:v>43</x:v>
      </x:c>
      <x:c r="L64" s="5" t="s">
        <x:v>240</x:v>
      </x:c>
      <x:c r="M64" s="5"/>
      <x:c r="N64" s="5" t="s">
        <x:v>343</x:v>
      </x:c>
    </x:row>
    <x:row r="65" ht="28">
      <x:c r="A65" s="5" t="s">
        <x:v>212</x:v>
      </x:c>
      <x:c r="B65" s="5">
        <x:v>55</x:v>
      </x:c>
      <x:c r="C65" s="5" t="s">
        <x:v>344</x:v>
      </x:c>
      <x:c r="D65" s="5">
        <x:v>14</x:v>
      </x:c>
      <x:c r="E65" s="5" t="s">
        <x:v>72</x:v>
      </x:c>
      <x:c r="F65" s="8" t="s">
        <x:v>345</x:v>
      </x:c>
      <x:c r="G65" s="8"/>
      <x:c r="H65" s="8" t="s">
        <x:v>17</x:v>
      </x:c>
      <x:c r="I65" s="8" t="s">
        <x:v>17</x:v>
      </x:c>
      <x:c r="J65" s="8" t="s">
        <x:v>346</x:v>
      </x:c>
      <x:c r="K65" s="5" t="s">
        <x:v>43</x:v>
      </x:c>
      <x:c r="L65" s="5" t="s">
        <x:v>240</x:v>
      </x:c>
      <x:c r="M65" s="5"/>
      <x:c r="N65" s="5" t="s">
        <x:v>347</x:v>
      </x:c>
    </x:row>
    <x:row r="66" ht="28">
      <x:c r="A66" s="5" t="s">
        <x:v>212</x:v>
      </x:c>
      <x:c r="B66" s="5">
        <x:v>56</x:v>
      </x:c>
      <x:c r="C66" s="5" t="s">
        <x:v>348</x:v>
      </x:c>
      <x:c r="D66" s="5">
        <x:v>12</x:v>
      </x:c>
      <x:c r="E66" s="5" t="s">
        <x:v>72</x:v>
      </x:c>
      <x:c r="F66" s="8" t="s">
        <x:v>349</x:v>
      </x:c>
      <x:c r="G66" s="8"/>
      <x:c r="H66" s="8" t="s">
        <x:v>674</x:v>
      </x:c>
      <x:c r="I66" s="8" t="s">
        <x:v>674</x:v>
      </x:c>
      <x:c r="J66" s="8" t="s">
        <x:v>675</x:v>
      </x:c>
      <x:c r="K66" s="5" t="s">
        <x:v>43</x:v>
      </x:c>
      <x:c r="L66" s="5" t="s">
        <x:v>240</x:v>
      </x:c>
      <x:c r="M66" s="5"/>
      <x:c r="N66" s="5" t="s">
        <x:v>352</x:v>
      </x:c>
    </x:row>
    <x:row r="67" ht="42">
      <x:c r="A67" s="5" t="s">
        <x:v>212</x:v>
      </x:c>
      <x:c r="B67" s="5">
        <x:v>57</x:v>
      </x:c>
      <x:c r="C67" s="5" t="s">
        <x:v>354</x:v>
      </x:c>
      <x:c r="D67" s="5">
        <x:v>15</x:v>
      </x:c>
      <x:c r="E67" s="5" t="s">
        <x:v>72</x:v>
      </x:c>
      <x:c r="F67" s="8" t="s">
        <x:v>355</x:v>
      </x:c>
      <x:c r="G67" s="8"/>
      <x:c r="H67" s="8" t="s">
        <x:v>676</x:v>
      </x:c>
      <x:c r="I67" s="8" t="s">
        <x:v>22</x:v>
      </x:c>
      <x:c r="J67" s="8" t="s">
        <x:v>677</x:v>
      </x:c>
      <x:c r="K67" s="5" t="s">
        <x:v>43</x:v>
      </x:c>
      <x:c r="L67" s="5" t="s">
        <x:v>240</x:v>
      </x:c>
      <x:c r="M67" s="5"/>
      <x:c r="N67" s="5" t="s">
        <x:v>358</x:v>
      </x:c>
    </x:row>
    <x:row r="68" ht="154">
      <x:c r="A68" s="5" t="s">
        <x:v>212</x:v>
      </x:c>
      <x:c r="B68" s="5">
        <x:v>58</x:v>
      </x:c>
      <x:c r="C68" s="5" t="s">
        <x:v>359</x:v>
      </x:c>
      <x:c r="D68" s="5">
        <x:v>7</x:v>
      </x:c>
      <x:c r="E68" s="5" t="s">
        <x:v>72</x:v>
      </x:c>
      <x:c r="F68" s="8" t="s">
        <x:v>360</x:v>
      </x:c>
      <x:c r="G68" s="8" t="s">
        <x:v>636</x:v>
      </x:c>
      <x:c r="H68" s="8"/>
      <x:c r="I68" s="8"/>
      <x:c r="J68" s="8"/>
      <x:c r="K68" s="5" t="s">
        <x:v>74</x:v>
      </x:c>
      <x:c r="L68" s="5" t="s">
        <x:v>240</x:v>
      </x:c>
      <x:c r="M68" s="5"/>
      <x:c r="N68" s="5" t="s">
        <x:v>361</x:v>
      </x:c>
    </x:row>
    <x:row r="69" ht="42">
      <x:c r="A69" s="5" t="s">
        <x:v>212</x:v>
      </x:c>
      <x:c r="B69" s="5">
        <x:v>59</x:v>
      </x:c>
      <x:c r="C69" s="5" t="s">
        <x:v>298</x:v>
      </x:c>
      <x:c r="D69" s="5">
        <x:v>20</x:v>
      </x:c>
      <x:c r="E69" s="5" t="s">
        <x:v>43</x:v>
      </x:c>
      <x:c r="F69" s="8" t="s">
        <x:v>362</x:v>
      </x:c>
      <x:c r="G69" s="8"/>
      <x:c r="H69" s="8" t="s">
        <x:v>624</x:v>
      </x:c>
      <x:c r="I69" s="8" t="s">
        <x:v>624</x:v>
      </x:c>
      <x:c r="J69" s="8" t="s">
        <x:v>678</x:v>
      </x:c>
      <x:c r="K69" s="5" t="s">
        <x:v>43</x:v>
      </x:c>
      <x:c r="L69" s="5" t="s">
        <x:v>240</x:v>
      </x:c>
      <x:c r="M69" s="5"/>
      <x:c r="N69" s="5" t="s">
        <x:v>365</x:v>
      </x:c>
    </x:row>
    <x:row r="70" ht="140">
      <x:c r="A70" s="5" t="s">
        <x:v>212</x:v>
      </x:c>
      <x:c r="B70" s="5">
        <x:v>60</x:v>
      </x:c>
      <x:c r="C70" s="5" t="s">
        <x:v>366</x:v>
      </x:c>
      <x:c r="D70" s="5">
        <x:v>21</x:v>
      </x:c>
      <x:c r="E70" s="5" t="s">
        <x:v>89</x:v>
      </x:c>
      <x:c r="F70" s="8" t="s">
        <x:v>367</x:v>
      </x:c>
      <x:c r="G70" s="8" t="s">
        <x:v>679</x:v>
      </x:c>
      <x:c r="H70" s="8" t="s">
        <x:v>15</x:v>
      </x:c>
      <x:c r="I70" s="8" t="s">
        <x:v>15</x:v>
      </x:c>
      <x:c r="J70" s="8" t="s">
        <x:v>680</x:v>
      </x:c>
      <x:c r="K70" s="5" t="s">
        <x:v>43</x:v>
      </x:c>
      <x:c r="L70" s="5" t="s">
        <x:v>240</x:v>
      </x:c>
      <x:c r="M70" s="5"/>
      <x:c r="N70" s="5" t="s">
        <x:v>369</x:v>
      </x:c>
    </x:row>
    <x:row r="71" ht="28">
      <x:c r="A71" s="5" t="s">
        <x:v>212</x:v>
      </x:c>
      <x:c r="B71" s="5">
        <x:v>61</x:v>
      </x:c>
      <x:c r="C71" s="5" t="s">
        <x:v>371</x:v>
      </x:c>
      <x:c r="D71" s="5">
        <x:v>14</x:v>
      </x:c>
      <x:c r="E71" s="5" t="s">
        <x:v>72</x:v>
      </x:c>
      <x:c r="F71" s="8" t="s">
        <x:v>372</x:v>
      </x:c>
      <x:c r="G71" s="8"/>
      <x:c r="H71" s="8" t="s">
        <x:v>14</x:v>
      </x:c>
      <x:c r="I71" s="8" t="s">
        <x:v>14</x:v>
      </x:c>
      <x:c r="J71" s="8" t="s">
        <x:v>640</x:v>
      </x:c>
      <x:c r="K71" s="5" t="s">
        <x:v>43</x:v>
      </x:c>
      <x:c r="L71" s="5" t="s">
        <x:v>240</x:v>
      </x:c>
      <x:c r="M71" s="5"/>
      <x:c r="N71" s="5" t="s">
        <x:v>373</x:v>
      </x:c>
    </x:row>
    <x:row r="72" ht="154">
      <x:c r="A72" s="5" t="s">
        <x:v>212</x:v>
      </x:c>
      <x:c r="B72" s="5">
        <x:v>62</x:v>
      </x:c>
      <x:c r="C72" s="5" t="s">
        <x:v>374</x:v>
      </x:c>
      <x:c r="D72" s="5">
        <x:v>15</x:v>
      </x:c>
      <x:c r="E72" s="5" t="s">
        <x:v>72</x:v>
      </x:c>
      <x:c r="F72" s="8" t="s">
        <x:v>375</x:v>
      </x:c>
      <x:c r="G72" s="8" t="s">
        <x:v>636</x:v>
      </x:c>
      <x:c r="H72" s="8" t="s">
        <x:v>17</x:v>
      </x:c>
      <x:c r="I72" s="8" t="s">
        <x:v>17</x:v>
      </x:c>
      <x:c r="J72" s="8" t="s">
        <x:v>376</x:v>
      </x:c>
      <x:c r="K72" s="5" t="s">
        <x:v>43</x:v>
      </x:c>
      <x:c r="L72" s="5" t="s">
        <x:v>240</x:v>
      </x:c>
      <x:c r="M72" s="5"/>
      <x:c r="N72" s="5" t="s">
        <x:v>377</x:v>
      </x:c>
    </x:row>
    <x:row r="73" ht="98">
      <x:c r="A73" s="5" t="s">
        <x:v>212</x:v>
      </x:c>
      <x:c r="B73" s="5">
        <x:v>63</x:v>
      </x:c>
      <x:c r="C73" s="5" t="s">
        <x:v>378</x:v>
      </x:c>
      <x:c r="D73" s="5">
        <x:v>9</x:v>
      </x:c>
      <x:c r="E73" s="5" t="s">
        <x:v>43</x:v>
      </x:c>
      <x:c r="F73" s="8" t="s">
        <x:v>379</x:v>
      </x:c>
      <x:c r="G73" s="8"/>
      <x:c r="H73" s="8" t="s">
        <x:v>651</x:v>
      </x:c>
      <x:c r="I73" s="8" t="s">
        <x:v>651</x:v>
      </x:c>
      <x:c r="J73" s="8" t="s">
        <x:v>681</x:v>
      </x:c>
      <x:c r="K73" s="5" t="s">
        <x:v>43</x:v>
      </x:c>
      <x:c r="L73" s="5" t="s">
        <x:v>240</x:v>
      </x:c>
      <x:c r="M73" s="5"/>
      <x:c r="N73" s="5" t="s">
        <x:v>381</x:v>
      </x:c>
    </x:row>
    <x:row r="74" ht="28">
      <x:c r="A74" s="5" t="s">
        <x:v>212</x:v>
      </x:c>
      <x:c r="B74" s="5">
        <x:v>64</x:v>
      </x:c>
      <x:c r="C74" s="5" t="s">
        <x:v>383</x:v>
      </x:c>
      <x:c r="D74" s="5">
        <x:v>17</x:v>
      </x:c>
      <x:c r="E74" s="5" t="s">
        <x:v>72</x:v>
      </x:c>
      <x:c r="F74" s="8" t="s">
        <x:v>384</x:v>
      </x:c>
      <x:c r="G74" s="8"/>
      <x:c r="H74" s="8" t="s">
        <x:v>661</x:v>
      </x:c>
      <x:c r="I74" s="8" t="s">
        <x:v>661</x:v>
      </x:c>
      <x:c r="J74" s="8" t="s">
        <x:v>682</x:v>
      </x:c>
      <x:c r="K74" s="5" t="s">
        <x:v>43</x:v>
      </x:c>
      <x:c r="L74" s="5" t="s">
        <x:v>240</x:v>
      </x:c>
      <x:c r="M74" s="5"/>
      <x:c r="N74" s="5" t="s">
        <x:v>386</x:v>
      </x:c>
    </x:row>
    <x:row r="75" ht="84">
      <x:c r="A75" s="5" t="s">
        <x:v>212</x:v>
      </x:c>
      <x:c r="B75" s="5">
        <x:v>65</x:v>
      </x:c>
      <x:c r="C75" s="5" t="s">
        <x:v>387</x:v>
      </x:c>
      <x:c r="D75" s="5">
        <x:v>11</x:v>
      </x:c>
      <x:c r="E75" s="5" t="s">
        <x:v>72</x:v>
      </x:c>
      <x:c r="F75" s="8" t="s">
        <x:v>388</x:v>
      </x:c>
      <x:c r="G75" s="8"/>
      <x:c r="H75" s="8" t="s">
        <x:v>661</x:v>
      </x:c>
      <x:c r="I75" s="8" t="s">
        <x:v>661</x:v>
      </x:c>
      <x:c r="J75" s="8" t="s">
        <x:v>683</x:v>
      </x:c>
      <x:c r="K75" s="5" t="s">
        <x:v>43</x:v>
      </x:c>
      <x:c r="L75" s="5" t="s">
        <x:v>240</x:v>
      </x:c>
      <x:c r="M75" s="5"/>
      <x:c r="N75" s="5" t="s">
        <x:v>390</x:v>
      </x:c>
    </x:row>
    <x:row r="76" ht="140">
      <x:c r="A76" s="5" t="s">
        <x:v>212</x:v>
      </x:c>
      <x:c r="B76" s="5">
        <x:v>66</x:v>
      </x:c>
      <x:c r="C76" s="5" t="s">
        <x:v>391</x:v>
      </x:c>
      <x:c r="D76" s="5">
        <x:v>20</x:v>
      </x:c>
      <x:c r="E76" s="5" t="s">
        <x:v>43</x:v>
      </x:c>
      <x:c r="F76" s="8" t="s">
        <x:v>392</x:v>
      </x:c>
      <x:c r="G76" s="8" t="s">
        <x:v>684</x:v>
      </x:c>
      <x:c r="H76" s="8" t="s">
        <x:v>604</x:v>
      </x:c>
      <x:c r="I76" s="8" t="s">
        <x:v>17</x:v>
      </x:c>
      <x:c r="J76" s="8" t="s">
        <x:v>685</x:v>
      </x:c>
      <x:c r="K76" s="5" t="s">
        <x:v>43</x:v>
      </x:c>
      <x:c r="L76" s="5" t="s">
        <x:v>240</x:v>
      </x:c>
      <x:c r="M76" s="5"/>
      <x:c r="N76" s="5" t="s">
        <x:v>394</x:v>
      </x:c>
    </x:row>
    <x:row r="77" ht="42">
      <x:c r="A77" s="5" t="s">
        <x:v>212</x:v>
      </x:c>
      <x:c r="B77" s="5">
        <x:v>67</x:v>
      </x:c>
      <x:c r="C77" s="5" t="s">
        <x:v>396</x:v>
      </x:c>
      <x:c r="D77" s="5">
        <x:v>22</x:v>
      </x:c>
      <x:c r="E77" s="5" t="s">
        <x:v>72</x:v>
      </x:c>
      <x:c r="F77" s="8" t="s">
        <x:v>397</x:v>
      </x:c>
      <x:c r="G77" s="8"/>
      <x:c r="H77" s="8" t="s">
        <x:v>15</x:v>
      </x:c>
      <x:c r="I77" s="8"/>
      <x:c r="J77" s="8" t="s">
        <x:v>686</x:v>
      </x:c>
      <x:c r="K77" s="5" t="s">
        <x:v>72</x:v>
      </x:c>
      <x:c r="L77" s="5" t="s">
        <x:v>240</x:v>
      </x:c>
      <x:c r="M77" s="5"/>
      <x:c r="N77" s="5" t="s">
        <x:v>400</x:v>
      </x:c>
    </x:row>
    <x:row r="78" ht="56">
      <x:c r="A78" s="5" t="s">
        <x:v>212</x:v>
      </x:c>
      <x:c r="B78" s="5">
        <x:v>68</x:v>
      </x:c>
      <x:c r="C78" s="5" t="s">
        <x:v>402</x:v>
      </x:c>
      <x:c r="D78" s="5">
        <x:v>13</x:v>
      </x:c>
      <x:c r="E78" s="5" t="s">
        <x:v>72</x:v>
      </x:c>
      <x:c r="F78" s="8" t="s">
        <x:v>403</x:v>
      </x:c>
      <x:c r="G78" s="8"/>
      <x:c r="H78" s="8" t="s">
        <x:v>661</x:v>
      </x:c>
      <x:c r="I78" s="8" t="s">
        <x:v>661</x:v>
      </x:c>
      <x:c r="J78" s="8" t="s">
        <x:v>687</x:v>
      </x:c>
      <x:c r="K78" s="5" t="s">
        <x:v>43</x:v>
      </x:c>
      <x:c r="L78" s="5" t="s">
        <x:v>240</x:v>
      </x:c>
      <x:c r="M78" s="5"/>
      <x:c r="N78" s="5" t="s">
        <x:v>405</x:v>
      </x:c>
    </x:row>
    <x:row r="79" ht="42">
      <x:c r="A79" s="5" t="s">
        <x:v>212</x:v>
      </x:c>
      <x:c r="B79" s="5">
        <x:v>69</x:v>
      </x:c>
      <x:c r="C79" s="5" t="s">
        <x:v>406</x:v>
      </x:c>
      <x:c r="D79" s="5">
        <x:v>15</x:v>
      </x:c>
      <x:c r="E79" s="5" t="s">
        <x:v>72</x:v>
      </x:c>
      <x:c r="F79" s="8" t="s">
        <x:v>407</x:v>
      </x:c>
      <x:c r="G79" s="8"/>
      <x:c r="H79" s="8" t="s">
        <x:v>605</x:v>
      </x:c>
      <x:c r="I79" s="8" t="s">
        <x:v>17</x:v>
      </x:c>
      <x:c r="J79" s="8" t="s">
        <x:v>688</x:v>
      </x:c>
      <x:c r="K79" s="5" t="s">
        <x:v>43</x:v>
      </x:c>
      <x:c r="L79" s="5" t="s">
        <x:v>240</x:v>
      </x:c>
      <x:c r="M79" s="5"/>
      <x:c r="N79" s="5" t="s">
        <x:v>410</x:v>
      </x:c>
    </x:row>
    <x:row r="80">
      <x:c r="A80" s="5" t="s">
        <x:v>212</x:v>
      </x:c>
      <x:c r="B80" s="5">
        <x:v>70</x:v>
      </x:c>
      <x:c r="C80" s="5" t="s">
        <x:v>412</x:v>
      </x:c>
      <x:c r="D80" s="5">
        <x:v>6</x:v>
      </x:c>
      <x:c r="E80" s="5" t="s">
        <x:v>72</x:v>
      </x:c>
      <x:c r="F80" s="8" t="s">
        <x:v>413</x:v>
      </x:c>
      <x:c r="G80" s="8"/>
      <x:c r="H80" s="8"/>
      <x:c r="I80" s="8"/>
      <x:c r="J80" s="8"/>
      <x:c r="K80" s="5" t="s">
        <x:v>74</x:v>
      </x:c>
      <x:c r="L80" s="5" t="s">
        <x:v>240</x:v>
      </x:c>
      <x:c r="M80" s="5"/>
      <x:c r="N80" s="5" t="s">
        <x:v>414</x:v>
      </x:c>
    </x:row>
    <x:row r="81" ht="42">
      <x:c r="A81" s="5" t="s">
        <x:v>212</x:v>
      </x:c>
      <x:c r="B81" s="5">
        <x:v>71</x:v>
      </x:c>
      <x:c r="C81" s="5" t="s">
        <x:v>415</x:v>
      </x:c>
      <x:c r="D81" s="5">
        <x:v>15</x:v>
      </x:c>
      <x:c r="E81" s="5" t="s">
        <x:v>72</x:v>
      </x:c>
      <x:c r="F81" s="8" t="s">
        <x:v>416</x:v>
      </x:c>
      <x:c r="G81" s="8"/>
      <x:c r="H81" s="8" t="s">
        <x:v>634</x:v>
      </x:c>
      <x:c r="I81" s="8" t="s">
        <x:v>634</x:v>
      </x:c>
      <x:c r="J81" s="8" t="s">
        <x:v>635</x:v>
      </x:c>
      <x:c r="K81" s="5" t="s">
        <x:v>43</x:v>
      </x:c>
      <x:c r="L81" s="5" t="s">
        <x:v>240</x:v>
      </x:c>
      <x:c r="M81" s="5"/>
      <x:c r="N81" s="5" t="s">
        <x:v>417</x:v>
      </x:c>
    </x:row>
    <x:row r="82" ht="28">
      <x:c r="A82" s="5" t="s">
        <x:v>212</x:v>
      </x:c>
      <x:c r="B82" s="5">
        <x:v>72</x:v>
      </x:c>
      <x:c r="C82" s="5" t="s">
        <x:v>263</x:v>
      </x:c>
      <x:c r="D82" s="5">
        <x:v>11</x:v>
      </x:c>
      <x:c r="E82" s="5" t="s">
        <x:v>89</x:v>
      </x:c>
      <x:c r="F82" s="8" t="s">
        <x:v>418</x:v>
      </x:c>
      <x:c r="G82" s="8"/>
      <x:c r="H82" s="8" t="s">
        <x:v>549</x:v>
      </x:c>
      <x:c r="I82" s="8" t="s">
        <x:v>549</x:v>
      </x:c>
      <x:c r="J82" s="8" t="s">
        <x:v>689</x:v>
      </x:c>
      <x:c r="K82" s="5" t="s">
        <x:v>43</x:v>
      </x:c>
      <x:c r="L82" s="5" t="s">
        <x:v>240</x:v>
      </x:c>
      <x:c r="M82" s="5"/>
      <x:c r="N82" s="5" t="s">
        <x:v>419</x:v>
      </x:c>
    </x:row>
    <x:row r="83" ht="210">
      <x:c r="A83" s="5" t="s">
        <x:v>212</x:v>
      </x:c>
      <x:c r="B83" s="5">
        <x:v>73</x:v>
      </x:c>
      <x:c r="C83" s="5" t="s">
        <x:v>420</x:v>
      </x:c>
      <x:c r="D83" s="5">
        <x:v>21</x:v>
      </x:c>
      <x:c r="E83" s="5" t="s">
        <x:v>72</x:v>
      </x:c>
      <x:c r="F83" s="8" t="s">
        <x:v>421</x:v>
      </x:c>
      <x:c r="G83" s="8" t="s">
        <x:v>690</x:v>
      </x:c>
      <x:c r="H83" s="8" t="s">
        <x:v>11</x:v>
      </x:c>
      <x:c r="I83" s="8" t="s">
        <x:v>11</x:v>
      </x:c>
      <x:c r="J83" s="8" t="s">
        <x:v>691</x:v>
      </x:c>
      <x:c r="K83" s="5" t="s">
        <x:v>43</x:v>
      </x:c>
      <x:c r="L83" s="5" t="s">
        <x:v>240</x:v>
      </x:c>
      <x:c r="M83" s="5"/>
      <x:c r="N83" s="5" t="s">
        <x:v>423</x:v>
      </x:c>
    </x:row>
    <x:row r="84" ht="252">
      <x:c r="A84" s="5" t="s">
        <x:v>212</x:v>
      </x:c>
      <x:c r="B84" s="5">
        <x:v>74</x:v>
      </x:c>
      <x:c r="C84" s="5" t="s">
        <x:v>425</x:v>
      </x:c>
      <x:c r="D84" s="5">
        <x:v>24</x:v>
      </x:c>
      <x:c r="E84" s="5" t="s">
        <x:v>72</x:v>
      </x:c>
      <x:c r="F84" s="8" t="s">
        <x:v>426</x:v>
      </x:c>
      <x:c r="G84" s="8" t="s">
        <x:v>692</x:v>
      </x:c>
      <x:c r="H84" s="8" t="s">
        <x:v>605</x:v>
      </x:c>
      <x:c r="I84" s="8"/>
      <x:c r="J84" s="8" t="s">
        <x:v>693</x:v>
      </x:c>
      <x:c r="K84" s="5" t="s">
        <x:v>72</x:v>
      </x:c>
      <x:c r="L84" s="5" t="s">
        <x:v>240</x:v>
      </x:c>
      <x:c r="M84" s="5"/>
      <x:c r="N84" s="5" t="s">
        <x:v>428</x:v>
      </x:c>
    </x:row>
    <x:row r="85" ht="28">
      <x:c r="A85" s="5" t="s">
        <x:v>212</x:v>
      </x:c>
      <x:c r="B85" s="5">
        <x:v>75</x:v>
      </x:c>
      <x:c r="C85" s="5" t="s">
        <x:v>429</x:v>
      </x:c>
      <x:c r="D85" s="5">
        <x:v>15</x:v>
      </x:c>
      <x:c r="E85" s="5" t="s">
        <x:v>72</x:v>
      </x:c>
      <x:c r="F85" s="8" t="s">
        <x:v>430</x:v>
      </x:c>
      <x:c r="G85" s="8"/>
      <x:c r="H85" s="8" t="s">
        <x:v>14</x:v>
      </x:c>
      <x:c r="I85" s="8" t="s">
        <x:v>14</x:v>
      </x:c>
      <x:c r="J85" s="8" t="s">
        <x:v>640</x:v>
      </x:c>
      <x:c r="K85" s="5" t="s">
        <x:v>43</x:v>
      </x:c>
      <x:c r="L85" s="5" t="s">
        <x:v>240</x:v>
      </x:c>
      <x:c r="M85" s="5"/>
      <x:c r="N85" s="5" t="s">
        <x:v>431</x:v>
      </x:c>
    </x:row>
    <x:row r="86" ht="56">
      <x:c r="A86" s="5" t="s">
        <x:v>212</x:v>
      </x:c>
      <x:c r="B86" s="5">
        <x:v>76</x:v>
      </x:c>
      <x:c r="C86" s="5" t="s">
        <x:v>432</x:v>
      </x:c>
      <x:c r="D86" s="5">
        <x:v>13</x:v>
      </x:c>
      <x:c r="E86" s="5" t="s">
        <x:v>53</x:v>
      </x:c>
      <x:c r="F86" s="8" t="s">
        <x:v>433</x:v>
      </x:c>
      <x:c r="G86" s="8"/>
      <x:c r="H86" s="8" t="s">
        <x:v>694</x:v>
      </x:c>
      <x:c r="I86" s="8" t="s">
        <x:v>694</x:v>
      </x:c>
      <x:c r="J86" s="8" t="s">
        <x:v>695</x:v>
      </x:c>
      <x:c r="K86" s="5" t="s">
        <x:v>43</x:v>
      </x:c>
      <x:c r="L86" s="5" t="s">
        <x:v>240</x:v>
      </x:c>
      <x:c r="M86" s="5"/>
      <x:c r="N86" s="5" t="s">
        <x:v>436</x:v>
      </x:c>
    </x:row>
    <x:row r="87" ht="42">
      <x:c r="A87" s="5" t="s">
        <x:v>212</x:v>
      </x:c>
      <x:c r="B87" s="5">
        <x:v>77</x:v>
      </x:c>
      <x:c r="C87" s="5" t="s">
        <x:v>437</x:v>
      </x:c>
      <x:c r="D87" s="5">
        <x:v>9</x:v>
      </x:c>
      <x:c r="E87" s="5" t="s">
        <x:v>43</x:v>
      </x:c>
      <x:c r="F87" s="8" t="s">
        <x:v>438</x:v>
      </x:c>
      <x:c r="G87" s="8"/>
      <x:c r="H87" s="8" t="s">
        <x:v>651</x:v>
      </x:c>
      <x:c r="I87" s="8" t="s">
        <x:v>651</x:v>
      </x:c>
      <x:c r="J87" s="8" t="s">
        <x:v>696</x:v>
      </x:c>
      <x:c r="K87" s="5" t="s">
        <x:v>43</x:v>
      </x:c>
      <x:c r="L87" s="5" t="s">
        <x:v>240</x:v>
      </x:c>
      <x:c r="M87" s="5"/>
      <x:c r="N87" s="5" t="s">
        <x:v>440</x:v>
      </x:c>
    </x:row>
    <x:row r="88" ht="252">
      <x:c r="A88" s="5" t="s">
        <x:v>212</x:v>
      </x:c>
      <x:c r="B88" s="5">
        <x:v>78</x:v>
      </x:c>
      <x:c r="C88" s="5" t="s">
        <x:v>441</x:v>
      </x:c>
      <x:c r="D88" s="5">
        <x:v>17</x:v>
      </x:c>
      <x:c r="E88" s="5" t="s">
        <x:v>104</x:v>
      </x:c>
      <x:c r="F88" s="8" t="s">
        <x:v>442</x:v>
      </x:c>
      <x:c r="G88" s="8" t="s">
        <x:v>697</x:v>
      </x:c>
      <x:c r="H88" s="8" t="s">
        <x:v>632</x:v>
      </x:c>
      <x:c r="I88" s="8" t="s">
        <x:v>16</x:v>
      </x:c>
      <x:c r="J88" s="8" t="s">
        <x:v>698</x:v>
      </x:c>
      <x:c r="K88" s="5" t="s">
        <x:v>43</x:v>
      </x:c>
      <x:c r="L88" s="5" t="s">
        <x:v>240</x:v>
      </x:c>
      <x:c r="M88" s="5"/>
      <x:c r="N88" s="5" t="s">
        <x:v>444</x:v>
      </x:c>
    </x:row>
    <x:row r="89" ht="84">
      <x:c r="A89" s="5" t="s">
        <x:v>212</x:v>
      </x:c>
      <x:c r="B89" s="5">
        <x:v>79</x:v>
      </x:c>
      <x:c r="C89" s="5" t="s">
        <x:v>445</x:v>
      </x:c>
      <x:c r="D89" s="5">
        <x:v>10</x:v>
      </x:c>
      <x:c r="E89" s="5" t="s">
        <x:v>72</x:v>
      </x:c>
      <x:c r="F89" s="8" t="s">
        <x:v>446</x:v>
      </x:c>
      <x:c r="G89" s="8"/>
      <x:c r="H89" s="8" t="s">
        <x:v>627</x:v>
      </x:c>
      <x:c r="I89" s="8" t="s">
        <x:v>628</x:v>
      </x:c>
      <x:c r="J89" s="8" t="s">
        <x:v>699</x:v>
      </x:c>
      <x:c r="K89" s="5" t="s">
        <x:v>43</x:v>
      </x:c>
      <x:c r="L89" s="5" t="s">
        <x:v>240</x:v>
      </x:c>
      <x:c r="M89" s="5"/>
      <x:c r="N89" s="5" t="s">
        <x:v>448</x:v>
      </x:c>
    </x:row>
    <x:row r="90" ht="210">
      <x:c r="A90" s="5" t="s">
        <x:v>212</x:v>
      </x:c>
      <x:c r="B90" s="5">
        <x:v>80</x:v>
      </x:c>
      <x:c r="C90" s="5" t="s">
        <x:v>449</x:v>
      </x:c>
      <x:c r="D90" s="5">
        <x:v>23</x:v>
      </x:c>
      <x:c r="E90" s="5" t="s">
        <x:v>104</x:v>
      </x:c>
      <x:c r="F90" s="8" t="s">
        <x:v>450</x:v>
      </x:c>
      <x:c r="G90" s="8" t="s">
        <x:v>700</x:v>
      </x:c>
      <x:c r="H90" s="8" t="s">
        <x:v>701</x:v>
      </x:c>
      <x:c r="I90" s="8" t="s">
        <x:v>624</x:v>
      </x:c>
      <x:c r="J90" s="8" t="s">
        <x:v>702</x:v>
      </x:c>
      <x:c r="K90" s="5" t="s">
        <x:v>43</x:v>
      </x:c>
      <x:c r="L90" s="5" t="s">
        <x:v>240</x:v>
      </x:c>
      <x:c r="M90" s="5"/>
      <x:c r="N90" s="5" t="s">
        <x:v>453</x:v>
      </x:c>
    </x:row>
    <x:row r="91" ht="252">
      <x:c r="A91" s="5" t="s">
        <x:v>212</x:v>
      </x:c>
      <x:c r="B91" s="5">
        <x:v>81</x:v>
      </x:c>
      <x:c r="C91" s="5" t="s">
        <x:v>455</x:v>
      </x:c>
      <x:c r="D91" s="5">
        <x:v>25</x:v>
      </x:c>
      <x:c r="E91" s="5" t="s">
        <x:v>89</x:v>
      </x:c>
      <x:c r="F91" s="8" t="s">
        <x:v>456</x:v>
      </x:c>
      <x:c r="G91" s="8" t="s">
        <x:v>703</x:v>
      </x:c>
      <x:c r="H91" s="8" t="s">
        <x:v>704</x:v>
      </x:c>
      <x:c r="I91" s="8" t="s">
        <x:v>705</x:v>
      </x:c>
      <x:c r="J91" s="8" t="s">
        <x:v>706</x:v>
      </x:c>
      <x:c r="K91" s="5" t="s">
        <x:v>43</x:v>
      </x:c>
      <x:c r="L91" s="5" t="s">
        <x:v>240</x:v>
      </x:c>
      <x:c r="M91" s="5"/>
      <x:c r="N91" s="5" t="s">
        <x:v>458</x:v>
      </x:c>
    </x:row>
    <x:row r="92" ht="238">
      <x:c r="A92" s="5" t="s">
        <x:v>212</x:v>
      </x:c>
      <x:c r="B92" s="5">
        <x:v>93</x:v>
      </x:c>
      <x:c r="C92" s="5" t="s">
        <x:v>459</x:v>
      </x:c>
      <x:c r="D92" s="5">
        <x:v>10</x:v>
      </x:c>
      <x:c r="E92" s="5" t="s">
        <x:v>72</x:v>
      </x:c>
      <x:c r="F92" s="8" t="s">
        <x:v>460</x:v>
      </x:c>
      <x:c r="G92" s="8" t="s">
        <x:v>707</x:v>
      </x:c>
      <x:c r="H92" s="8" t="s">
        <x:v>21</x:v>
      </x:c>
      <x:c r="I92" s="8" t="s">
        <x:v>21</x:v>
      </x:c>
      <x:c r="J92" s="8" t="s">
        <x:v>461</x:v>
      </x:c>
      <x:c r="K92" s="5" t="s">
        <x:v>43</x:v>
      </x:c>
      <x:c r="L92" s="5" t="s">
        <x:v>240</x:v>
      </x:c>
      <x:c r="M92" s="5"/>
      <x:c r="N92" s="5" t="s">
        <x:v>462</x:v>
      </x:c>
    </x:row>
    <x:row r="93" ht="42">
      <x:c r="A93" s="5" t="s">
        <x:v>212</x:v>
      </x:c>
      <x:c r="B93" s="5">
        <x:v>94</x:v>
      </x:c>
      <x:c r="C93" s="5" t="s">
        <x:v>464</x:v>
      </x:c>
      <x:c r="D93" s="5">
        <x:v>19</x:v>
      </x:c>
      <x:c r="E93" s="5" t="s">
        <x:v>53</x:v>
      </x:c>
      <x:c r="F93" s="8" t="s">
        <x:v>465</x:v>
      </x:c>
      <x:c r="G93" s="8"/>
      <x:c r="H93" s="8" t="s">
        <x:v>17</x:v>
      </x:c>
      <x:c r="I93" s="8" t="s">
        <x:v>17</x:v>
      </x:c>
      <x:c r="J93" s="8" t="s">
        <x:v>466</x:v>
      </x:c>
      <x:c r="K93" s="5" t="s">
        <x:v>43</x:v>
      </x:c>
      <x:c r="L93" s="5" t="s">
        <x:v>240</x:v>
      </x:c>
      <x:c r="M93" s="5"/>
      <x:c r="N93" s="5" t="s">
        <x:v>467</x:v>
      </x:c>
    </x:row>
    <x:row r="94" ht="28">
      <x:c r="A94" s="5" t="s">
        <x:v>212</x:v>
      </x:c>
      <x:c r="B94" s="5">
        <x:v>95</x:v>
      </x:c>
      <x:c r="C94" s="5" t="s">
        <x:v>468</x:v>
      </x:c>
      <x:c r="D94" s="5">
        <x:v>9</x:v>
      </x:c>
      <x:c r="E94" s="5" t="s">
        <x:v>72</x:v>
      </x:c>
      <x:c r="F94" s="8" t="s">
        <x:v>469</x:v>
      </x:c>
      <x:c r="G94" s="8"/>
      <x:c r="H94" s="8" t="s">
        <x:v>651</x:v>
      </x:c>
      <x:c r="I94" s="8" t="s">
        <x:v>651</x:v>
      </x:c>
      <x:c r="J94" s="8" t="s">
        <x:v>708</x:v>
      </x:c>
      <x:c r="K94" s="5" t="s">
        <x:v>43</x:v>
      </x:c>
      <x:c r="L94" s="5" t="s">
        <x:v>240</x:v>
      </x:c>
      <x:c r="M94" s="5"/>
      <x:c r="N94" s="5" t="s">
        <x:v>471</x:v>
      </x:c>
    </x:row>
    <x:row r="95" ht="56">
      <x:c r="A95" s="5" t="s">
        <x:v>212</x:v>
      </x:c>
      <x:c r="B95" s="5">
        <x:v>96</x:v>
      </x:c>
      <x:c r="C95" s="5" t="s">
        <x:v>371</x:v>
      </x:c>
      <x:c r="D95" s="5">
        <x:v>14</x:v>
      </x:c>
      <x:c r="E95" s="5" t="s">
        <x:v>72</x:v>
      </x:c>
      <x:c r="F95" s="8" t="s">
        <x:v>472</x:v>
      </x:c>
      <x:c r="G95" s="8"/>
      <x:c r="H95" s="8" t="s">
        <x:v>14</x:v>
      </x:c>
      <x:c r="I95" s="8" t="s">
        <x:v>14</x:v>
      </x:c>
      <x:c r="J95" s="8" t="s">
        <x:v>640</x:v>
      </x:c>
      <x:c r="K95" s="5" t="s">
        <x:v>43</x:v>
      </x:c>
      <x:c r="L95" s="5" t="s">
        <x:v>240</x:v>
      </x:c>
      <x:c r="M95" s="5"/>
      <x:c r="N95" s="5" t="s">
        <x:v>473</x:v>
      </x:c>
    </x:row>
    <x:row r="96" ht="238">
      <x:c r="A96" s="5" t="s">
        <x:v>212</x:v>
      </x:c>
      <x:c r="B96" s="5">
        <x:v>97</x:v>
      </x:c>
      <x:c r="C96" s="5" t="s">
        <x:v>474</x:v>
      </x:c>
      <x:c r="D96" s="5">
        <x:v>16</x:v>
      </x:c>
      <x:c r="E96" s="5" t="s">
        <x:v>53</x:v>
      </x:c>
      <x:c r="F96" s="8" t="s">
        <x:v>475</x:v>
      </x:c>
      <x:c r="G96" s="8" t="s">
        <x:v>709</x:v>
      </x:c>
      <x:c r="H96" s="8" t="s">
        <x:v>15</x:v>
      </x:c>
      <x:c r="I96" s="8" t="s">
        <x:v>15</x:v>
      </x:c>
      <x:c r="J96" s="8" t="s">
        <x:v>710</x:v>
      </x:c>
      <x:c r="K96" s="5" t="s">
        <x:v>43</x:v>
      </x:c>
      <x:c r="L96" s="5" t="s">
        <x:v>240</x:v>
      </x:c>
      <x:c r="M96" s="5"/>
      <x:c r="N96" s="5" t="s">
        <x:v>477</x:v>
      </x:c>
    </x:row>
    <x:row r="97" ht="293">
      <x:c r="A97" s="5" t="s">
        <x:v>212</x:v>
      </x:c>
      <x:c r="B97" s="5">
        <x:v>98</x:v>
      </x:c>
      <x:c r="C97" s="5" t="s">
        <x:v>479</x:v>
      </x:c>
      <x:c r="D97" s="5">
        <x:v>26</x:v>
      </x:c>
      <x:c r="E97" s="5" t="s">
        <x:v>43</x:v>
      </x:c>
      <x:c r="F97" s="8" t="s">
        <x:v>480</x:v>
      </x:c>
      <x:c r="G97" s="8" t="s">
        <x:v>711</x:v>
      </x:c>
      <x:c r="H97" s="8" t="s">
        <x:v>712</x:v>
      </x:c>
      <x:c r="I97" s="8" t="s">
        <x:v>713</x:v>
      </x:c>
      <x:c r="J97" s="8" t="s">
        <x:v>714</x:v>
      </x:c>
      <x:c r="K97" s="5" t="s">
        <x:v>43</x:v>
      </x:c>
      <x:c r="L97" s="5" t="s">
        <x:v>240</x:v>
      </x:c>
      <x:c r="M97" s="5"/>
      <x:c r="N97" s="5" t="s">
        <x:v>483</x:v>
      </x:c>
    </x:row>
    <x:row r="98" ht="70">
      <x:c r="A98" s="5" t="s">
        <x:v>212</x:v>
      </x:c>
      <x:c r="B98" s="5">
        <x:v>99</x:v>
      </x:c>
      <x:c r="C98" s="5" t="s">
        <x:v>484</x:v>
      </x:c>
      <x:c r="D98" s="5">
        <x:v>22</x:v>
      </x:c>
      <x:c r="E98" s="5" t="s">
        <x:v>89</x:v>
      </x:c>
      <x:c r="F98" s="8" t="s">
        <x:v>485</x:v>
      </x:c>
      <x:c r="G98" s="8"/>
      <x:c r="H98" s="8" t="s">
        <x:v>671</x:v>
      </x:c>
      <x:c r="I98" s="8" t="s">
        <x:v>671</x:v>
      </x:c>
      <x:c r="J98" s="8" t="s">
        <x:v>715</x:v>
      </x:c>
      <x:c r="K98" s="5" t="s">
        <x:v>43</x:v>
      </x:c>
      <x:c r="L98" s="5" t="s">
        <x:v>240</x:v>
      </x:c>
      <x:c r="M98" s="5"/>
      <x:c r="N98" s="5" t="s">
        <x:v>487</x:v>
      </x:c>
    </x:row>
    <x:row r="99" ht="28">
      <x:c r="A99" s="5" t="s">
        <x:v>212</x:v>
      </x:c>
      <x:c r="B99" s="5">
        <x:v>100</x:v>
      </x:c>
      <x:c r="C99" s="5" t="s">
        <x:v>489</x:v>
      </x:c>
      <x:c r="D99" s="5">
        <x:v>12</x:v>
      </x:c>
      <x:c r="E99" s="5" t="s">
        <x:v>72</x:v>
      </x:c>
      <x:c r="F99" s="8" t="s">
        <x:v>490</x:v>
      </x:c>
      <x:c r="G99" s="8"/>
      <x:c r="H99" s="8" t="s">
        <x:v>14</x:v>
      </x:c>
      <x:c r="I99" s="8" t="s">
        <x:v>14</x:v>
      </x:c>
      <x:c r="J99" s="8" t="s">
        <x:v>640</x:v>
      </x:c>
      <x:c r="K99" s="5" t="s">
        <x:v>43</x:v>
      </x:c>
      <x:c r="L99" s="5" t="s">
        <x:v>240</x:v>
      </x:c>
      <x:c r="M99" s="5"/>
      <x:c r="N99" s="5" t="s">
        <x:v>491</x:v>
      </x:c>
    </x:row>
    <x:row r="100" ht="224">
      <x:c r="A100" s="5" t="s">
        <x:v>212</x:v>
      </x:c>
      <x:c r="B100" s="5">
        <x:v>101</x:v>
      </x:c>
      <x:c r="C100" s="5" t="s">
        <x:v>492</x:v>
      </x:c>
      <x:c r="D100" s="5">
        <x:v>16</x:v>
      </x:c>
      <x:c r="E100" s="5" t="s">
        <x:v>89</x:v>
      </x:c>
      <x:c r="F100" s="8" t="s">
        <x:v>493</x:v>
      </x:c>
      <x:c r="G100" s="8" t="s">
        <x:v>716</x:v>
      </x:c>
      <x:c r="H100" s="8" t="s">
        <x:v>717</x:v>
      </x:c>
      <x:c r="I100" s="8" t="s">
        <x:v>17</x:v>
      </x:c>
      <x:c r="J100" s="8" t="s">
        <x:v>718</x:v>
      </x:c>
      <x:c r="K100" s="5" t="s">
        <x:v>43</x:v>
      </x:c>
      <x:c r="L100" s="5" t="s">
        <x:v>240</x:v>
      </x:c>
      <x:c r="M100" s="5"/>
      <x:c r="N100" s="5" t="s">
        <x:v>496</x:v>
      </x:c>
    </x:row>
    <x:row r="101" ht="140">
      <x:c r="A101" s="5" t="s">
        <x:v>212</x:v>
      </x:c>
      <x:c r="B101" s="5">
        <x:v>102</x:v>
      </x:c>
      <x:c r="C101" s="5" t="s">
        <x:v>497</x:v>
      </x:c>
      <x:c r="D101" s="5">
        <x:v>7</x:v>
      </x:c>
      <x:c r="E101" s="5" t="s">
        <x:v>43</x:v>
      </x:c>
      <x:c r="F101" s="8" t="s">
        <x:v>498</x:v>
      </x:c>
      <x:c r="G101" s="8" t="s">
        <x:v>719</x:v>
      </x:c>
      <x:c r="H101" s="8" t="s">
        <x:v>720</x:v>
      </x:c>
      <x:c r="I101" s="8" t="s">
        <x:v>721</x:v>
      </x:c>
      <x:c r="J101" s="8" t="s">
        <x:v>722</x:v>
      </x:c>
      <x:c r="K101" s="5" t="s">
        <x:v>43</x:v>
      </x:c>
      <x:c r="L101" s="5" t="s">
        <x:v>240</x:v>
      </x:c>
      <x:c r="M101" s="5"/>
      <x:c r="N101" s="5" t="s">
        <x:v>501</x:v>
      </x:c>
    </x:row>
    <x:row r="102" ht="56">
      <x:c r="A102" s="5" t="s">
        <x:v>212</x:v>
      </x:c>
      <x:c r="B102" s="5">
        <x:v>103</x:v>
      </x:c>
      <x:c r="C102" s="5" t="s">
        <x:v>502</x:v>
      </x:c>
      <x:c r="D102" s="5">
        <x:v>17</x:v>
      </x:c>
      <x:c r="E102" s="5" t="s">
        <x:v>72</x:v>
      </x:c>
      <x:c r="F102" s="8" t="s">
        <x:v>503</x:v>
      </x:c>
      <x:c r="G102" s="8" t="s">
        <x:v>723</x:v>
      </x:c>
      <x:c r="H102" s="8" t="s">
        <x:v>20</x:v>
      </x:c>
      <x:c r="I102" s="8" t="s">
        <x:v>20</x:v>
      </x:c>
      <x:c r="J102" s="8" t="s">
        <x:v>724</x:v>
      </x:c>
      <x:c r="K102" s="5" t="s">
        <x:v>43</x:v>
      </x:c>
      <x:c r="L102" s="5" t="s">
        <x:v>240</x:v>
      </x:c>
      <x:c r="M102" s="5"/>
      <x:c r="N102" s="5" t="s">
        <x:v>504</x:v>
      </x:c>
    </x:row>
    <x:row r="103" ht="42">
      <x:c r="A103" s="5" t="s">
        <x:v>212</x:v>
      </x:c>
      <x:c r="B103" s="5">
        <x:v>104</x:v>
      </x:c>
      <x:c r="C103" s="5" t="s">
        <x:v>506</x:v>
      </x:c>
      <x:c r="D103" s="5">
        <x:v>5</x:v>
      </x:c>
      <x:c r="E103" s="5" t="s">
        <x:v>72</x:v>
      </x:c>
      <x:c r="F103" s="8" t="s">
        <x:v>507</x:v>
      </x:c>
      <x:c r="G103" s="8"/>
      <x:c r="H103" s="8" t="s">
        <x:v>14</x:v>
      </x:c>
      <x:c r="I103" s="8" t="s">
        <x:v>14</x:v>
      </x:c>
      <x:c r="J103" s="8" t="s">
        <x:v>640</x:v>
      </x:c>
      <x:c r="K103" s="5" t="s">
        <x:v>43</x:v>
      </x:c>
      <x:c r="L103" s="5" t="s">
        <x:v>240</x:v>
      </x:c>
      <x:c r="M103" s="5"/>
      <x:c r="N103" s="5" t="s">
        <x:v>508</x:v>
      </x:c>
    </x:row>
    <x:row r="104" ht="56">
      <x:c r="A104" s="5" t="s">
        <x:v>212</x:v>
      </x:c>
      <x:c r="B104" s="5">
        <x:v>105</x:v>
      </x:c>
      <x:c r="C104" s="5" t="s">
        <x:v>509</x:v>
      </x:c>
      <x:c r="D104" s="5">
        <x:v>21</x:v>
      </x:c>
      <x:c r="E104" s="5" t="s">
        <x:v>43</x:v>
      </x:c>
      <x:c r="F104" s="8" t="s">
        <x:v>510</x:v>
      </x:c>
      <x:c r="G104" s="8" t="s">
        <x:v>725</x:v>
      </x:c>
      <x:c r="H104" s="8" t="s">
        <x:v>726</x:v>
      </x:c>
      <x:c r="I104" s="8" t="s">
        <x:v>717</x:v>
      </x:c>
      <x:c r="J104" s="8" t="s">
        <x:v>727</x:v>
      </x:c>
      <x:c r="K104" s="5" t="s">
        <x:v>43</x:v>
      </x:c>
      <x:c r="L104" s="5" t="s">
        <x:v>240</x:v>
      </x:c>
      <x:c r="M104" s="5"/>
      <x:c r="N104" s="5" t="s">
        <x:v>513</x:v>
      </x:c>
    </x:row>
    <x:row r="105" ht="84">
      <x:c r="A105" s="6" t="s">
        <x:v>212</x:v>
      </x:c>
      <x:c r="B105" s="6">
        <x:v>106</x:v>
      </x:c>
      <x:c r="C105" s="6" t="s">
        <x:v>514</x:v>
      </x:c>
      <x:c r="D105" s="6">
        <x:v>20</x:v>
      </x:c>
      <x:c r="E105" s="6" t="s">
        <x:v>72</x:v>
      </x:c>
      <x:c r="F105" s="9" t="s">
        <x:v>515</x:v>
      </x:c>
      <x:c r="G105" s="9"/>
      <x:c r="H105" s="9" t="s">
        <x:v>18</x:v>
      </x:c>
      <x:c r="I105" s="9" t="s">
        <x:v>18</x:v>
      </x:c>
      <x:c r="J105" s="9" t="s">
        <x:v>728</x:v>
      </x:c>
      <x:c r="K105" s="6" t="s">
        <x:v>43</x:v>
      </x:c>
      <x:c r="L105" s="6" t="s">
        <x:v>240</x:v>
      </x:c>
      <x:c r="M105" s="6"/>
      <x:c r="N105" s="6" t="s">
        <x:v>517</x:v>
      </x:c>
    </x:row>
  </x:sheetData>
  <x:mergeCells>
    <x:mergeCell ref="A1:N1"/>
    <x:mergeCell ref="A2:N2"/>
  </x:mergeCells>
  <x:conditionalFormatting sqref="K5:K105">
    <x:cfRule type="containsText" dxfId="3" priority="2" operator="containsText" text="нет сигнала"/>
  </x:conditionalFormatting>
  <x:conditionalFormatting sqref="L5:L105">
    <x:cfRule type="containsText" dxfId="2" priority="1" operator="containsText" text="нужно обсудить"/>
  </x:conditionalFormatting>
  <x:dataValidations count="1">
    <x:dataValidation type="list" sqref="L5:L105">
      <x:formula1>"не проверено,проверено,нужно обсудить"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b44c011ea54e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7" customWidth="1"/>
    <x:col min="3" max="14" width="19" customWidth="1"/>
  </x:cols>
  <x:sheetData>
    <x:row r="1" ht="30" customHeight="1">
      <x:c r="A1" s="1" t="s">
        <x:v>29</x:v>
      </x:c>
      <x:c r="B1" s="2" t="s">
        <x:v>30</x:v>
      </x:c>
      <x:c r="C1" s="2" t="s">
        <x:v>11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2" t="s">
        <x:v>18</x:v>
      </x:c>
      <x:c r="I1" s="2" t="s">
        <x:v>20</x:v>
      </x:c>
      <x:c r="J1" s="2" t="s">
        <x:v>21</x:v>
      </x:c>
      <x:c r="K1" s="2" t="s">
        <x:v>22</x:v>
      </x:c>
      <x:c r="L1" s="2" t="s">
        <x:v>23</x:v>
      </x:c>
      <x:c r="M1" s="2" t="s">
        <x:v>546</x:v>
      </x:c>
      <x:c r="N1" s="3" t="s">
        <x:v>549</x:v>
      </x:c>
    </x:row>
    <x:row r="2">
      <x:c r="A2" s="4" t="s">
        <x:v>41</x:v>
      </x:c>
      <x:c r="B2" s="4">
        <x:v>1</x:v>
      </x:c>
      <x:c r="C2" s="10">
        <x:v>0</x:v>
      </x:c>
      <x:c r="D2" s="10">
        <x:v>0</x:v>
      </x:c>
      <x:c r="E2" s="10">
        <x:v>0</x:v>
      </x:c>
      <x:c r="F2" s="10">
        <x:v>0</x:v>
      </x:c>
      <x:c r="G2" s="10">
        <x:v>0</x:v>
      </x:c>
      <x:c r="H2" s="10">
        <x:v>1</x:v>
      </x:c>
      <x:c r="I2" s="10">
        <x:v>0</x:v>
      </x:c>
      <x:c r="J2" s="10">
        <x:v>0</x:v>
      </x:c>
      <x:c r="K2" s="10">
        <x:v>0</x:v>
      </x:c>
      <x:c r="L2" s="10">
        <x:v>0</x:v>
      </x:c>
      <x:c r="M2" s="10">
        <x:v>0</x:v>
      </x:c>
      <x:c r="N2" s="10">
        <x:v>0</x:v>
      </x:c>
    </x:row>
    <x:row r="3">
      <x:c r="A3" s="5" t="s">
        <x:v>41</x:v>
      </x:c>
      <x:c r="B3" s="5">
        <x:v>2</x:v>
      </x:c>
      <x:c r="C3" s="11">
        <x:v>0</x:v>
      </x:c>
      <x:c r="D3" s="11">
        <x:v>0</x:v>
      </x:c>
      <x:c r="E3" s="11">
        <x:v>1</x:v>
      </x:c>
      <x:c r="F3" s="11">
        <x:v>0</x:v>
      </x:c>
      <x:c r="G3" s="11">
        <x:v>0</x:v>
      </x:c>
      <x:c r="H3" s="11">
        <x:v>0</x:v>
      </x:c>
      <x:c r="I3" s="11">
        <x:v>0</x:v>
      </x:c>
      <x:c r="J3" s="11">
        <x:v>0</x:v>
      </x:c>
      <x:c r="K3" s="11">
        <x:v>0</x:v>
      </x:c>
      <x:c r="L3" s="11">
        <x:v>0</x:v>
      </x:c>
      <x:c r="M3" s="11">
        <x:v>0</x:v>
      </x:c>
      <x:c r="N3" s="11">
        <x:v>1</x:v>
      </x:c>
    </x:row>
    <x:row r="4">
      <x:c r="A4" s="5" t="s">
        <x:v>41</x:v>
      </x:c>
      <x:c r="B4" s="5">
        <x:v>3</x:v>
      </x:c>
      <x:c r="C4" s="11">
        <x:v>0</x:v>
      </x:c>
      <x:c r="D4" s="11">
        <x:v>0</x:v>
      </x:c>
      <x:c r="E4" s="11">
        <x:v>0</x:v>
      </x:c>
      <x:c r="F4" s="11">
        <x:v>0</x:v>
      </x:c>
      <x:c r="G4" s="11">
        <x:v>0</x:v>
      </x:c>
      <x:c r="H4" s="11">
        <x:v>0</x:v>
      </x:c>
      <x:c r="I4" s="11">
        <x:v>1</x:v>
      </x:c>
      <x:c r="J4" s="11">
        <x:v>0</x:v>
      </x:c>
      <x:c r="K4" s="11">
        <x:v>0</x:v>
      </x:c>
      <x:c r="L4" s="11">
        <x:v>1</x:v>
      </x:c>
      <x:c r="M4" s="11">
        <x:v>0</x:v>
      </x:c>
      <x:c r="N4" s="11">
        <x:v>0</x:v>
      </x:c>
    </x:row>
    <x:row r="5">
      <x:c r="A5" s="5" t="s">
        <x:v>41</x:v>
      </x:c>
      <x:c r="B5" s="5">
        <x:v>4</x:v>
      </x:c>
      <x:c r="C5" s="11">
        <x:v>0</x:v>
      </x:c>
      <x:c r="D5" s="11">
        <x:v>0</x:v>
      </x:c>
      <x:c r="E5" s="11">
        <x:v>0</x:v>
      </x:c>
      <x:c r="F5" s="11">
        <x:v>1</x:v>
      </x:c>
      <x:c r="G5" s="11">
        <x:v>1</x:v>
      </x:c>
      <x:c r="H5" s="11">
        <x:v>0</x:v>
      </x:c>
      <x:c r="I5" s="11">
        <x:v>0</x:v>
      </x:c>
      <x:c r="J5" s="11">
        <x:v>0</x:v>
      </x:c>
      <x:c r="K5" s="11">
        <x:v>0</x:v>
      </x:c>
      <x:c r="L5" s="11">
        <x:v>0</x:v>
      </x:c>
      <x:c r="M5" s="11">
        <x:v>1</x:v>
      </x:c>
      <x:c r="N5" s="11">
        <x:v>0</x:v>
      </x:c>
    </x:row>
    <x:row r="6">
      <x:c r="A6" s="5" t="s">
        <x:v>41</x:v>
      </x:c>
      <x:c r="B6" s="5">
        <x:v>5</x:v>
      </x:c>
      <x:c r="C6" s="11">
        <x:v>0</x:v>
      </x:c>
      <x:c r="D6" s="11">
        <x:v>0</x:v>
      </x:c>
      <x:c r="E6" s="11">
        <x:v>0</x:v>
      </x:c>
      <x:c r="F6" s="11">
        <x:v>0</x:v>
      </x:c>
      <x:c r="G6" s="11">
        <x:v>0</x:v>
      </x:c>
      <x:c r="H6" s="11">
        <x:v>0</x:v>
      </x:c>
      <x:c r="I6" s="11">
        <x:v>0</x:v>
      </x:c>
      <x:c r="J6" s="11">
        <x:v>0</x:v>
      </x:c>
      <x:c r="K6" s="11">
        <x:v>0</x:v>
      </x:c>
      <x:c r="L6" s="11">
        <x:v>0</x:v>
      </x:c>
      <x:c r="M6" s="11">
        <x:v>0</x:v>
      </x:c>
      <x:c r="N6" s="11">
        <x:v>0</x:v>
      </x:c>
    </x:row>
    <x:row r="7">
      <x:c r="A7" s="5" t="s">
        <x:v>41</x:v>
      </x:c>
      <x:c r="B7" s="5">
        <x:v>6</x:v>
      </x:c>
      <x:c r="C7" s="11">
        <x:v>0</x:v>
      </x:c>
      <x:c r="D7" s="11">
        <x:v>0</x:v>
      </x:c>
      <x:c r="E7" s="11">
        <x:v>0</x:v>
      </x:c>
      <x:c r="F7" s="11">
        <x:v>0</x:v>
      </x:c>
      <x:c r="G7" s="11">
        <x:v>0</x:v>
      </x:c>
      <x:c r="H7" s="11">
        <x:v>0</x:v>
      </x:c>
      <x:c r="I7" s="11">
        <x:v>0</x:v>
      </x:c>
      <x:c r="J7" s="11">
        <x:v>0</x:v>
      </x:c>
      <x:c r="K7" s="11">
        <x:v>0</x:v>
      </x:c>
      <x:c r="L7" s="11">
        <x:v>0</x:v>
      </x:c>
      <x:c r="M7" s="11">
        <x:v>0</x:v>
      </x:c>
      <x:c r="N7" s="11">
        <x:v>0</x:v>
      </x:c>
    </x:row>
    <x:row r="8">
      <x:c r="A8" s="5" t="s">
        <x:v>41</x:v>
      </x:c>
      <x:c r="B8" s="5">
        <x:v>7</x:v>
      </x:c>
      <x:c r="C8" s="11">
        <x:v>1</x:v>
      </x:c>
      <x:c r="D8" s="11">
        <x:v>0</x:v>
      </x:c>
      <x:c r="E8" s="11">
        <x:v>0</x:v>
      </x:c>
      <x:c r="F8" s="11">
        <x:v>1</x:v>
      </x:c>
      <x:c r="G8" s="11">
        <x:v>0</x:v>
      </x:c>
      <x:c r="H8" s="11">
        <x:v>0</x:v>
      </x:c>
      <x:c r="I8" s="11">
        <x:v>1</x:v>
      </x:c>
      <x:c r="J8" s="11">
        <x:v>0</x:v>
      </x:c>
      <x:c r="K8" s="11">
        <x:v>1</x:v>
      </x:c>
      <x:c r="L8" s="11">
        <x:v>0</x:v>
      </x:c>
      <x:c r="M8" s="11">
        <x:v>0</x:v>
      </x:c>
      <x:c r="N8" s="11">
        <x:v>0</x:v>
      </x:c>
    </x:row>
    <x:row r="9">
      <x:c r="A9" s="5" t="s">
        <x:v>41</x:v>
      </x:c>
      <x:c r="B9" s="5">
        <x:v>8</x:v>
      </x:c>
      <x:c r="C9" s="11">
        <x:v>0</x:v>
      </x:c>
      <x:c r="D9" s="11">
        <x:v>0</x:v>
      </x:c>
      <x:c r="E9" s="11">
        <x:v>0</x:v>
      </x:c>
      <x:c r="F9" s="11">
        <x:v>0</x:v>
      </x:c>
      <x:c r="G9" s="11">
        <x:v>0</x:v>
      </x:c>
      <x:c r="H9" s="11">
        <x:v>0</x:v>
      </x:c>
      <x:c r="I9" s="11">
        <x:v>0</x:v>
      </x:c>
      <x:c r="J9" s="11">
        <x:v>0</x:v>
      </x:c>
      <x:c r="K9" s="11">
        <x:v>0</x:v>
      </x:c>
      <x:c r="L9" s="11">
        <x:v>0</x:v>
      </x:c>
      <x:c r="M9" s="11">
        <x:v>0</x:v>
      </x:c>
      <x:c r="N9" s="11">
        <x:v>0</x:v>
      </x:c>
    </x:row>
    <x:row r="10">
      <x:c r="A10" s="5" t="s">
        <x:v>41</x:v>
      </x:c>
      <x:c r="B10" s="5">
        <x:v>9</x:v>
      </x:c>
      <x:c r="C10" s="11">
        <x:v>0</x:v>
      </x:c>
      <x:c r="D10" s="11">
        <x:v>0</x:v>
      </x:c>
      <x:c r="E10" s="11">
        <x:v>1</x:v>
      </x:c>
      <x:c r="F10" s="11">
        <x:v>0</x:v>
      </x:c>
      <x:c r="G10" s="11">
        <x:v>0</x:v>
      </x:c>
      <x:c r="H10" s="11">
        <x:v>0</x:v>
      </x:c>
      <x:c r="I10" s="11">
        <x:v>0</x:v>
      </x:c>
      <x:c r="J10" s="11">
        <x:v>0</x:v>
      </x:c>
      <x:c r="K10" s="11">
        <x:v>0</x:v>
      </x:c>
      <x:c r="L10" s="11">
        <x:v>0</x:v>
      </x:c>
      <x:c r="M10" s="11">
        <x:v>0</x:v>
      </x:c>
      <x:c r="N10" s="11">
        <x:v>0</x:v>
      </x:c>
    </x:row>
    <x:row r="11">
      <x:c r="A11" s="5" t="s">
        <x:v>41</x:v>
      </x:c>
      <x:c r="B11" s="5">
        <x:v>10</x:v>
      </x:c>
      <x:c r="C11" s="11">
        <x:v>0</x:v>
      </x:c>
      <x:c r="D11" s="11">
        <x:v>0</x:v>
      </x:c>
      <x:c r="E11" s="11">
        <x:v>1</x:v>
      </x:c>
      <x:c r="F11" s="11">
        <x:v>0</x:v>
      </x:c>
      <x:c r="G11" s="11">
        <x:v>0</x:v>
      </x:c>
      <x:c r="H11" s="11">
        <x:v>0</x:v>
      </x:c>
      <x:c r="I11" s="11">
        <x:v>0</x:v>
      </x:c>
      <x:c r="J11" s="11">
        <x:v>0</x:v>
      </x:c>
      <x:c r="K11" s="11">
        <x:v>0</x:v>
      </x:c>
      <x:c r="L11" s="11">
        <x:v>0</x:v>
      </x:c>
      <x:c r="M11" s="11">
        <x:v>0</x:v>
      </x:c>
      <x:c r="N11" s="11">
        <x:v>0</x:v>
      </x:c>
    </x:row>
    <x:row r="12">
      <x:c r="A12" s="5" t="s">
        <x:v>41</x:v>
      </x:c>
      <x:c r="B12" s="5">
        <x:v>11</x:v>
      </x:c>
      <x:c r="C12" s="11">
        <x:v>1</x:v>
      </x:c>
      <x:c r="D12" s="11">
        <x:v>0</x:v>
      </x:c>
      <x:c r="E12" s="11">
        <x:v>1</x:v>
      </x:c>
      <x:c r="F12" s="11">
        <x:v>1</x:v>
      </x:c>
      <x:c r="G12" s="11">
        <x:v>0</x:v>
      </x:c>
      <x:c r="H12" s="11">
        <x:v>0</x:v>
      </x:c>
      <x:c r="I12" s="11">
        <x:v>0</x:v>
      </x:c>
      <x:c r="J12" s="11">
        <x:v>0</x:v>
      </x:c>
      <x:c r="K12" s="11">
        <x:v>1</x:v>
      </x:c>
      <x:c r="L12" s="11">
        <x:v>0</x:v>
      </x:c>
      <x:c r="M12" s="11">
        <x:v>0</x:v>
      </x:c>
      <x:c r="N12" s="11">
        <x:v>0</x:v>
      </x:c>
    </x:row>
    <x:row r="13">
      <x:c r="A13" s="5" t="s">
        <x:v>41</x:v>
      </x:c>
      <x:c r="B13" s="5">
        <x:v>12</x:v>
      </x:c>
      <x:c r="C13" s="11">
        <x:v>1</x:v>
      </x:c>
      <x:c r="D13" s="11">
        <x:v>0</x:v>
      </x:c>
      <x:c r="E13" s="11">
        <x:v>0</x:v>
      </x:c>
      <x:c r="F13" s="11">
        <x:v>0</x:v>
      </x:c>
      <x:c r="G13" s="11">
        <x:v>0</x:v>
      </x:c>
      <x:c r="H13" s="11">
        <x:v>1</x:v>
      </x:c>
      <x:c r="I13" s="11">
        <x:v>1</x:v>
      </x:c>
      <x:c r="J13" s="11">
        <x:v>0</x:v>
      </x:c>
      <x:c r="K13" s="11">
        <x:v>0</x:v>
      </x:c>
      <x:c r="L13" s="11">
        <x:v>1</x:v>
      </x:c>
      <x:c r="M13" s="11">
        <x:v>0</x:v>
      </x:c>
      <x:c r="N13" s="11">
        <x:v>0</x:v>
      </x:c>
    </x:row>
    <x:row r="14">
      <x:c r="A14" s="5" t="s">
        <x:v>41</x:v>
      </x:c>
      <x:c r="B14" s="5">
        <x:v>13</x:v>
      </x:c>
      <x:c r="C14" s="11">
        <x:v>1</x:v>
      </x:c>
      <x:c r="D14" s="11">
        <x:v>0</x:v>
      </x:c>
      <x:c r="E14" s="11">
        <x:v>0</x:v>
      </x:c>
      <x:c r="F14" s="11">
        <x:v>0</x:v>
      </x:c>
      <x:c r="G14" s="11">
        <x:v>0</x:v>
      </x:c>
      <x:c r="H14" s="11">
        <x:v>0</x:v>
      </x:c>
      <x:c r="I14" s="11">
        <x:v>0</x:v>
      </x:c>
      <x:c r="J14" s="11">
        <x:v>0</x:v>
      </x:c>
      <x:c r="K14" s="11">
        <x:v>0</x:v>
      </x:c>
      <x:c r="L14" s="11">
        <x:v>0</x:v>
      </x:c>
      <x:c r="M14" s="11">
        <x:v>0</x:v>
      </x:c>
      <x:c r="N14" s="11">
        <x:v>0</x:v>
      </x:c>
    </x:row>
    <x:row r="15">
      <x:c r="A15" s="5" t="s">
        <x:v>41</x:v>
      </x:c>
      <x:c r="B15" s="5">
        <x:v>14</x:v>
      </x:c>
      <x:c r="C15" s="11">
        <x:v>0</x:v>
      </x:c>
      <x:c r="D15" s="11">
        <x:v>0</x:v>
      </x:c>
      <x:c r="E15" s="11">
        <x:v>0</x:v>
      </x:c>
      <x:c r="F15" s="11">
        <x:v>0</x:v>
      </x:c>
      <x:c r="G15" s="11">
        <x:v>0</x:v>
      </x:c>
      <x:c r="H15" s="11">
        <x:v>0</x:v>
      </x:c>
      <x:c r="I15" s="11">
        <x:v>0</x:v>
      </x:c>
      <x:c r="J15" s="11">
        <x:v>0</x:v>
      </x:c>
      <x:c r="K15" s="11">
        <x:v>0</x:v>
      </x:c>
      <x:c r="L15" s="11">
        <x:v>1</x:v>
      </x:c>
      <x:c r="M15" s="11">
        <x:v>0</x:v>
      </x:c>
      <x:c r="N15" s="11">
        <x:v>0</x:v>
      </x:c>
    </x:row>
    <x:row r="16">
      <x:c r="A16" s="5" t="s">
        <x:v>41</x:v>
      </x:c>
      <x:c r="B16" s="5">
        <x:v>15</x:v>
      </x:c>
      <x:c r="C16" s="11">
        <x:v>0</x:v>
      </x:c>
      <x:c r="D16" s="11">
        <x:v>0</x:v>
      </x:c>
      <x:c r="E16" s="11">
        <x:v>0</x:v>
      </x:c>
      <x:c r="F16" s="11">
        <x:v>0</x:v>
      </x:c>
      <x:c r="G16" s="11">
        <x:v>0</x:v>
      </x:c>
      <x:c r="H16" s="11">
        <x:v>0</x:v>
      </x:c>
      <x:c r="I16" s="11">
        <x:v>1</x:v>
      </x:c>
      <x:c r="J16" s="11">
        <x:v>0</x:v>
      </x:c>
      <x:c r="K16" s="11">
        <x:v>0</x:v>
      </x:c>
      <x:c r="L16" s="11">
        <x:v>1</x:v>
      </x:c>
      <x:c r="M16" s="11">
        <x:v>0</x:v>
      </x:c>
      <x:c r="N16" s="11">
        <x:v>0</x:v>
      </x:c>
    </x:row>
    <x:row r="17">
      <x:c r="A17" s="5" t="s">
        <x:v>41</x:v>
      </x:c>
      <x:c r="B17" s="5">
        <x:v>16</x:v>
      </x:c>
      <x:c r="C17" s="11">
        <x:v>0</x:v>
      </x:c>
      <x:c r="D17" s="11">
        <x:v>0</x:v>
      </x:c>
      <x:c r="E17" s="11">
        <x:v>0</x:v>
      </x:c>
      <x:c r="F17" s="11">
        <x:v>0</x:v>
      </x:c>
      <x:c r="G17" s="11">
        <x:v>0</x:v>
      </x:c>
      <x:c r="H17" s="11">
        <x:v>0</x:v>
      </x:c>
      <x:c r="I17" s="11">
        <x:v>0</x:v>
      </x:c>
      <x:c r="J17" s="11">
        <x:v>0</x:v>
      </x:c>
      <x:c r="K17" s="11">
        <x:v>0</x:v>
      </x:c>
      <x:c r="L17" s="11">
        <x:v>0</x:v>
      </x:c>
      <x:c r="M17" s="11">
        <x:v>0</x:v>
      </x:c>
      <x:c r="N17" s="11">
        <x:v>0</x:v>
      </x:c>
    </x:row>
    <x:row r="18">
      <x:c r="A18" s="5" t="s">
        <x:v>41</x:v>
      </x:c>
      <x:c r="B18" s="5">
        <x:v>17</x:v>
      </x:c>
      <x:c r="C18" s="11">
        <x:v>0</x:v>
      </x:c>
      <x:c r="D18" s="11">
        <x:v>0</x:v>
      </x:c>
      <x:c r="E18" s="11">
        <x:v>0</x:v>
      </x:c>
      <x:c r="F18" s="11">
        <x:v>0</x:v>
      </x:c>
      <x:c r="G18" s="11">
        <x:v>0</x:v>
      </x:c>
      <x:c r="H18" s="11">
        <x:v>0</x:v>
      </x:c>
      <x:c r="I18" s="11">
        <x:v>1</x:v>
      </x:c>
      <x:c r="J18" s="11">
        <x:v>0</x:v>
      </x:c>
      <x:c r="K18" s="11">
        <x:v>0</x:v>
      </x:c>
      <x:c r="L18" s="11">
        <x:v>1</x:v>
      </x:c>
      <x:c r="M18" s="11">
        <x:v>0</x:v>
      </x:c>
      <x:c r="N18" s="11">
        <x:v>0</x:v>
      </x:c>
    </x:row>
    <x:row r="19">
      <x:c r="A19" s="5" t="s">
        <x:v>41</x:v>
      </x:c>
      <x:c r="B19" s="5">
        <x:v>18</x:v>
      </x:c>
      <x:c r="C19" s="11">
        <x:v>1</x:v>
      </x:c>
      <x:c r="D19" s="11">
        <x:v>0</x:v>
      </x:c>
      <x:c r="E19" s="11">
        <x:v>0</x:v>
      </x:c>
      <x:c r="F19" s="11">
        <x:v>1</x:v>
      </x:c>
      <x:c r="G19" s="11">
        <x:v>1</x:v>
      </x:c>
      <x:c r="H19" s="11">
        <x:v>1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</x:row>
    <x:row r="20">
      <x:c r="A20" s="5" t="s">
        <x:v>41</x:v>
      </x:c>
      <x:c r="B20" s="5">
        <x:v>19</x:v>
      </x:c>
      <x:c r="C20" s="11">
        <x:v>1</x:v>
      </x:c>
      <x:c r="D20" s="11">
        <x:v>0</x:v>
      </x:c>
      <x:c r="E20" s="11">
        <x:v>0</x:v>
      </x:c>
      <x:c r="F20" s="11">
        <x:v>0</x:v>
      </x:c>
      <x:c r="G20" s="11">
        <x:v>0</x:v>
      </x:c>
      <x:c r="H20" s="11">
        <x:v>0</x:v>
      </x:c>
      <x:c r="I20" s="11">
        <x:v>1</x:v>
      </x:c>
      <x:c r="J20" s="11">
        <x:v>1</x:v>
      </x:c>
      <x:c r="K20" s="11">
        <x:v>0</x:v>
      </x:c>
      <x:c r="L20" s="11">
        <x:v>0</x:v>
      </x:c>
      <x:c r="M20" s="11">
        <x:v>0</x:v>
      </x:c>
      <x:c r="N20" s="11">
        <x:v>0</x:v>
      </x:c>
    </x:row>
    <x:row r="21">
      <x:c r="A21" s="5" t="s">
        <x:v>41</x:v>
      </x:c>
      <x:c r="B21" s="5">
        <x:v>20</x:v>
      </x:c>
      <x:c r="C21" s="11">
        <x:v>0</x:v>
      </x:c>
      <x:c r="D21" s="11">
        <x:v>0</x:v>
      </x:c>
      <x:c r="E21" s="11">
        <x:v>1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</x:row>
    <x:row r="22">
      <x:c r="A22" s="5" t="s">
        <x:v>41</x:v>
      </x:c>
      <x:c r="B22" s="5">
        <x:v>21</x:v>
      </x:c>
      <x:c r="C22" s="11">
        <x:v>0</x:v>
      </x:c>
      <x:c r="D22" s="11">
        <x:v>0</x:v>
      </x:c>
      <x:c r="E22" s="11">
        <x:v>1</x:v>
      </x:c>
      <x:c r="F22" s="11">
        <x:v>0</x:v>
      </x:c>
      <x:c r="G22" s="11">
        <x:v>0</x:v>
      </x:c>
      <x:c r="H22" s="11">
        <x:v>1</x:v>
      </x:c>
      <x:c r="I22" s="11">
        <x:v>0</x:v>
      </x:c>
      <x:c r="J22" s="11">
        <x:v>0</x:v>
      </x:c>
      <x:c r="K22" s="11">
        <x:v>0</x:v>
      </x:c>
      <x:c r="L22" s="11">
        <x:v>0</x:v>
      </x:c>
      <x:c r="M22" s="11">
        <x:v>0</x:v>
      </x:c>
      <x:c r="N22" s="11">
        <x:v>0</x:v>
      </x:c>
    </x:row>
    <x:row r="23">
      <x:c r="A23" s="5" t="s">
        <x:v>41</x:v>
      </x:c>
      <x:c r="B23" s="5">
        <x:v>22</x:v>
      </x:c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1</x:v>
      </x:c>
      <x:c r="I23" s="11">
        <x:v>0</x:v>
      </x:c>
      <x:c r="J23" s="11">
        <x:v>1</x:v>
      </x:c>
      <x:c r="K23" s="11">
        <x:v>0</x:v>
      </x:c>
      <x:c r="L23" s="11">
        <x:v>0</x:v>
      </x:c>
      <x:c r="M23" s="11">
        <x:v>0</x:v>
      </x:c>
      <x:c r="N23" s="11">
        <x:v>0</x:v>
      </x:c>
    </x:row>
    <x:row r="24">
      <x:c r="A24" s="5" t="s">
        <x:v>41</x:v>
      </x:c>
      <x:c r="B24" s="5">
        <x:v>23</x:v>
      </x:c>
      <x:c r="C24" s="11">
        <x:v>1</x:v>
      </x:c>
      <x:c r="D24" s="11">
        <x:v>0</x:v>
      </x:c>
      <x:c r="E24" s="11">
        <x:v>1</x:v>
      </x:c>
      <x:c r="F24" s="11">
        <x:v>1</x:v>
      </x:c>
      <x:c r="G24" s="11">
        <x:v>0</x:v>
      </x:c>
      <x:c r="H24" s="11">
        <x:v>0</x:v>
      </x:c>
      <x:c r="I24" s="11">
        <x:v>0</x:v>
      </x:c>
      <x:c r="J24" s="11">
        <x:v>0</x:v>
      </x:c>
      <x:c r="K24" s="11">
        <x:v>1</x:v>
      </x:c>
      <x:c r="L24" s="11">
        <x:v>0</x:v>
      </x:c>
      <x:c r="M24" s="11">
        <x:v>0</x:v>
      </x:c>
      <x:c r="N24" s="11">
        <x:v>0</x:v>
      </x:c>
    </x:row>
    <x:row r="25">
      <x:c r="A25" s="5" t="s">
        <x:v>41</x:v>
      </x:c>
      <x:c r="B25" s="5">
        <x:v>24</x:v>
      </x:c>
      <x:c r="C25" s="11">
        <x:v>0</x:v>
      </x:c>
      <x:c r="D25" s="11">
        <x:v>0</x:v>
      </x:c>
      <x:c r="E25" s="11">
        <x:v>0</x:v>
      </x:c>
      <x:c r="F25" s="11">
        <x:v>1</x:v>
      </x:c>
      <x:c r="G25" s="11">
        <x:v>0</x:v>
      </x:c>
      <x:c r="H25" s="11">
        <x:v>0</x:v>
      </x:c>
      <x:c r="I25" s="11">
        <x:v>0</x:v>
      </x:c>
      <x:c r="J25" s="11">
        <x:v>0</x:v>
      </x:c>
      <x:c r="K25" s="11">
        <x:v>0</x:v>
      </x:c>
      <x:c r="L25" s="11">
        <x:v>0</x:v>
      </x:c>
      <x:c r="M25" s="11">
        <x:v>0</x:v>
      </x:c>
      <x:c r="N25" s="11">
        <x:v>0</x:v>
      </x:c>
    </x:row>
    <x:row r="26">
      <x:c r="A26" s="5" t="s">
        <x:v>41</x:v>
      </x:c>
      <x:c r="B26" s="5">
        <x:v>25</x:v>
      </x:c>
      <x:c r="C26" s="11">
        <x:v>1</x:v>
      </x:c>
      <x:c r="D26" s="11">
        <x:v>1</x:v>
      </x:c>
      <x:c r="E26" s="11">
        <x:v>0</x:v>
      </x:c>
      <x:c r="F26" s="11">
        <x:v>0</x:v>
      </x:c>
      <x:c r="G26" s="11">
        <x:v>1</x:v>
      </x:c>
      <x:c r="H26" s="11">
        <x:v>0</x:v>
      </x:c>
      <x:c r="I26" s="11">
        <x:v>0</x:v>
      </x:c>
      <x:c r="J26" s="11">
        <x:v>1</x:v>
      </x:c>
      <x:c r="K26" s="11">
        <x:v>0</x:v>
      </x:c>
      <x:c r="L26" s="11">
        <x:v>0</x:v>
      </x:c>
      <x:c r="M26" s="11">
        <x:v>1</x:v>
      </x:c>
      <x:c r="N26" s="11">
        <x:v>1</x:v>
      </x:c>
    </x:row>
    <x:row r="27">
      <x:c r="A27" s="5" t="s">
        <x:v>41</x:v>
      </x:c>
      <x:c r="B27" s="5">
        <x:v>26</x:v>
      </x:c>
      <x:c r="C27" s="11">
        <x:v>0</x:v>
      </x:c>
      <x:c r="D27" s="11">
        <x:v>1</x:v>
      </x:c>
      <x:c r="E27" s="11">
        <x:v>0</x:v>
      </x:c>
      <x:c r="F27" s="11">
        <x:v>1</x:v>
      </x:c>
      <x:c r="G27" s="11">
        <x:v>0</x:v>
      </x:c>
      <x:c r="H27" s="11">
        <x:v>0</x:v>
      </x:c>
      <x:c r="I27" s="11">
        <x:v>1</x:v>
      </x:c>
      <x:c r="J27" s="11">
        <x:v>0</x:v>
      </x:c>
      <x:c r="K27" s="11">
        <x:v>0</x:v>
      </x:c>
      <x:c r="L27" s="11">
        <x:v>0</x:v>
      </x:c>
      <x:c r="M27" s="11">
        <x:v>0</x:v>
      </x:c>
      <x:c r="N27" s="11">
        <x:v>0</x:v>
      </x:c>
    </x:row>
    <x:row r="28">
      <x:c r="A28" s="5" t="s">
        <x:v>41</x:v>
      </x:c>
      <x:c r="B28" s="5">
        <x:v>27</x:v>
      </x:c>
      <x:c r="C28" s="11">
        <x:v>0</x:v>
      </x:c>
      <x:c r="D28" s="11">
        <x:v>0</x:v>
      </x:c>
      <x:c r="E28" s="11">
        <x:v>0</x:v>
      </x:c>
      <x:c r="F28" s="11">
        <x:v>0</x:v>
      </x:c>
      <x:c r="G28" s="11">
        <x:v>0</x:v>
      </x:c>
      <x:c r="H28" s="11">
        <x:v>0</x:v>
      </x:c>
      <x:c r="I28" s="11">
        <x:v>0</x:v>
      </x:c>
      <x:c r="J28" s="11">
        <x:v>0</x:v>
      </x:c>
      <x:c r="K28" s="11">
        <x:v>0</x:v>
      </x:c>
      <x:c r="L28" s="11">
        <x:v>0</x:v>
      </x:c>
      <x:c r="M28" s="11">
        <x:v>1</x:v>
      </x:c>
      <x:c r="N28" s="11">
        <x:v>0</x:v>
      </x:c>
    </x:row>
    <x:row r="29">
      <x:c r="A29" s="5" t="s">
        <x:v>41</x:v>
      </x:c>
      <x:c r="B29" s="5">
        <x:v>28</x:v>
      </x:c>
      <x:c r="C29" s="11">
        <x:v>0</x:v>
      </x:c>
      <x:c r="D29" s="11">
        <x:v>1</x:v>
      </x:c>
      <x:c r="E29" s="11">
        <x:v>1</x:v>
      </x:c>
      <x:c r="F29" s="11">
        <x:v>0</x:v>
      </x:c>
      <x:c r="G29" s="11">
        <x:v>0</x:v>
      </x:c>
      <x:c r="H29" s="11">
        <x:v>0</x:v>
      </x:c>
      <x:c r="I29" s="11">
        <x:v>0</x:v>
      </x:c>
      <x:c r="J29" s="11">
        <x:v>1</x:v>
      </x:c>
      <x:c r="K29" s="11">
        <x:v>0</x:v>
      </x:c>
      <x:c r="L29" s="11">
        <x:v>0</x:v>
      </x:c>
      <x:c r="M29" s="11">
        <x:v>1</x:v>
      </x:c>
      <x:c r="N29" s="11">
        <x:v>0</x:v>
      </x:c>
    </x:row>
    <x:row r="30">
      <x:c r="A30" s="5" t="s">
        <x:v>41</x:v>
      </x:c>
      <x:c r="B30" s="5">
        <x:v>29</x:v>
      </x:c>
      <x:c r="C30" s="11">
        <x:v>0</x:v>
      </x:c>
      <x:c r="D30" s="11">
        <x:v>0</x:v>
      </x:c>
      <x:c r="E30" s="11">
        <x:v>1</x:v>
      </x:c>
      <x:c r="F30" s="11">
        <x:v>0</x:v>
      </x:c>
      <x:c r="G30" s="11">
        <x:v>0</x:v>
      </x:c>
      <x:c r="H30" s="11">
        <x:v>0</x:v>
      </x:c>
      <x:c r="I30" s="11">
        <x:v>0</x:v>
      </x:c>
      <x:c r="J30" s="11">
        <x:v>0</x:v>
      </x:c>
      <x:c r="K30" s="11">
        <x:v>0</x:v>
      </x:c>
      <x:c r="L30" s="11">
        <x:v>0</x:v>
      </x:c>
      <x:c r="M30" s="11">
        <x:v>0</x:v>
      </x:c>
      <x:c r="N30" s="11">
        <x:v>0</x:v>
      </x:c>
    </x:row>
    <x:row r="31">
      <x:c r="A31" s="5" t="s">
        <x:v>41</x:v>
      </x:c>
      <x:c r="B31" s="5">
        <x:v>30</x:v>
      </x:c>
      <x:c r="C31" s="11">
        <x:v>1</x:v>
      </x:c>
      <x:c r="D31" s="11">
        <x:v>0</x:v>
      </x:c>
      <x:c r="E31" s="11">
        <x:v>1</x:v>
      </x:c>
      <x:c r="F31" s="11">
        <x:v>0</x:v>
      </x:c>
      <x:c r="G31" s="11">
        <x:v>0</x:v>
      </x:c>
      <x:c r="H31" s="11">
        <x:v>0</x:v>
      </x:c>
      <x:c r="I31" s="11">
        <x:v>0</x:v>
      </x:c>
      <x:c r="J31" s="11">
        <x:v>0</x:v>
      </x:c>
      <x:c r="K31" s="11">
        <x:v>0</x:v>
      </x:c>
      <x:c r="L31" s="11">
        <x:v>0</x:v>
      </x:c>
      <x:c r="M31" s="11">
        <x:v>0</x:v>
      </x:c>
      <x:c r="N31" s="11">
        <x:v>1</x:v>
      </x:c>
    </x:row>
    <x:row r="32">
      <x:c r="A32" s="5" t="s">
        <x:v>41</x:v>
      </x:c>
      <x:c r="B32" s="5">
        <x:v>31</x:v>
      </x:c>
      <x:c r="C32" s="11">
        <x:v>1</x:v>
      </x:c>
      <x:c r="D32" s="11">
        <x:v>0</x:v>
      </x:c>
      <x:c r="E32" s="11">
        <x:v>0</x:v>
      </x:c>
      <x:c r="F32" s="11">
        <x:v>1</x:v>
      </x:c>
      <x:c r="G32" s="11">
        <x:v>0</x:v>
      </x:c>
      <x:c r="H32" s="11">
        <x:v>0</x:v>
      </x:c>
      <x:c r="I32" s="11">
        <x:v>0</x:v>
      </x:c>
      <x:c r="J32" s="11">
        <x:v>0</x:v>
      </x:c>
      <x:c r="K32" s="11">
        <x:v>0</x:v>
      </x:c>
      <x:c r="L32" s="11">
        <x:v>0</x:v>
      </x:c>
      <x:c r="M32" s="11">
        <x:v>0</x:v>
      </x:c>
      <x:c r="N32" s="11">
        <x:v>0</x:v>
      </x:c>
    </x:row>
    <x:row r="33">
      <x:c r="A33" s="5" t="s">
        <x:v>212</x:v>
      </x:c>
      <x:c r="B33" s="5">
        <x:v>1</x:v>
      </x:c>
      <x:c r="C33" s="11">
        <x:v>0</x:v>
      </x:c>
      <x:c r="D33" s="11">
        <x:v>0</x:v>
      </x:c>
      <x:c r="E33" s="11">
        <x:v>0</x:v>
      </x:c>
      <x:c r="F33" s="11">
        <x:v>0</x:v>
      </x:c>
      <x:c r="G33" s="11">
        <x:v>0</x:v>
      </x:c>
      <x:c r="H33" s="11">
        <x:v>0</x:v>
      </x:c>
      <x:c r="I33" s="11">
        <x:v>1</x:v>
      </x:c>
      <x:c r="J33" s="11">
        <x:v>1</x:v>
      </x:c>
      <x:c r="K33" s="11">
        <x:v>0</x:v>
      </x:c>
      <x:c r="L33" s="11">
        <x:v>0</x:v>
      </x:c>
      <x:c r="M33" s="11">
        <x:v>0</x:v>
      </x:c>
      <x:c r="N33" s="11">
        <x:v>0</x:v>
      </x:c>
    </x:row>
    <x:row r="34">
      <x:c r="A34" s="5" t="s">
        <x:v>212</x:v>
      </x:c>
      <x:c r="B34" s="5">
        <x:v>2</x:v>
      </x:c>
      <x:c r="C34" s="11">
        <x:v>0</x:v>
      </x:c>
      <x:c r="D34" s="11">
        <x:v>0</x:v>
      </x:c>
      <x:c r="E34" s="11">
        <x:v>1</x:v>
      </x:c>
      <x:c r="F34" s="11">
        <x:v>1</x:v>
      </x:c>
      <x:c r="G34" s="11">
        <x:v>1</x:v>
      </x:c>
      <x:c r="H34" s="11">
        <x:v>0</x:v>
      </x:c>
      <x:c r="I34" s="11">
        <x:v>0</x:v>
      </x:c>
      <x:c r="J34" s="11">
        <x:v>0</x:v>
      </x:c>
      <x:c r="K34" s="11">
        <x:v>0</x:v>
      </x:c>
      <x:c r="L34" s="11">
        <x:v>0</x:v>
      </x:c>
      <x:c r="M34" s="11">
        <x:v>1</x:v>
      </x:c>
      <x:c r="N34" s="11">
        <x:v>0</x:v>
      </x:c>
    </x:row>
    <x:row r="35">
      <x:c r="A35" s="5" t="s">
        <x:v>212</x:v>
      </x:c>
      <x:c r="B35" s="5">
        <x:v>3</x:v>
      </x:c>
      <x:c r="C35" s="11">
        <x:v>0</x:v>
      </x:c>
      <x:c r="D35" s="11">
        <x:v>0</x:v>
      </x:c>
      <x:c r="E35" s="11">
        <x:v>0</x:v>
      </x:c>
      <x:c r="F35" s="11">
        <x:v>0</x:v>
      </x:c>
      <x:c r="G35" s="11">
        <x:v>0</x:v>
      </x:c>
      <x:c r="H35" s="11">
        <x:v>0</x:v>
      </x:c>
      <x:c r="I35" s="11">
        <x:v>0</x:v>
      </x:c>
      <x:c r="J35" s="11">
        <x:v>0</x:v>
      </x:c>
      <x:c r="K35" s="11">
        <x:v>1</x:v>
      </x:c>
      <x:c r="L35" s="11">
        <x:v>0</x:v>
      </x:c>
      <x:c r="M35" s="11">
        <x:v>0</x:v>
      </x:c>
      <x:c r="N35" s="11">
        <x:v>0</x:v>
      </x:c>
    </x:row>
    <x:row r="36">
      <x:c r="A36" s="5" t="s">
        <x:v>212</x:v>
      </x:c>
      <x:c r="B36" s="5">
        <x:v>4</x:v>
      </x:c>
      <x:c r="C36" s="11">
        <x:v>0</x:v>
      </x:c>
      <x:c r="D36" s="11">
        <x:v>1</x:v>
      </x:c>
      <x:c r="E36" s="11">
        <x:v>0</x:v>
      </x:c>
      <x:c r="F36" s="11">
        <x:v>0</x:v>
      </x:c>
      <x:c r="G36" s="11">
        <x:v>0</x:v>
      </x:c>
      <x:c r="H36" s="11">
        <x:v>0</x:v>
      </x:c>
      <x:c r="I36" s="11">
        <x:v>0</x:v>
      </x:c>
      <x:c r="J36" s="11">
        <x:v>0</x:v>
      </x:c>
      <x:c r="K36" s="11">
        <x:v>0</x:v>
      </x:c>
      <x:c r="L36" s="11">
        <x:v>0</x:v>
      </x:c>
      <x:c r="M36" s="11">
        <x:v>0</x:v>
      </x:c>
      <x:c r="N36" s="11">
        <x:v>0</x:v>
      </x:c>
    </x:row>
    <x:row r="37">
      <x:c r="A37" s="5" t="s">
        <x:v>212</x:v>
      </x:c>
      <x:c r="B37" s="5">
        <x:v>5</x:v>
      </x:c>
      <x:c r="C37" s="11">
        <x:v>0</x:v>
      </x:c>
      <x:c r="D37" s="11">
        <x:v>1</x:v>
      </x:c>
      <x:c r="E37" s="11">
        <x:v>0</x:v>
      </x:c>
      <x:c r="F37" s="11">
        <x:v>0</x:v>
      </x:c>
      <x:c r="G37" s="11">
        <x:v>0</x:v>
      </x:c>
      <x:c r="H37" s="11">
        <x:v>0</x:v>
      </x:c>
      <x:c r="I37" s="11">
        <x:v>0</x:v>
      </x:c>
      <x:c r="J37" s="11">
        <x:v>0</x:v>
      </x:c>
      <x:c r="K37" s="11">
        <x:v>0</x:v>
      </x:c>
      <x:c r="L37" s="11">
        <x:v>0</x:v>
      </x:c>
      <x:c r="M37" s="11">
        <x:v>0</x:v>
      </x:c>
      <x:c r="N37" s="11">
        <x:v>0</x:v>
      </x:c>
    </x:row>
    <x:row r="38">
      <x:c r="A38" s="5" t="s">
        <x:v>212</x:v>
      </x:c>
      <x:c r="B38" s="5">
        <x:v>6</x:v>
      </x:c>
      <x:c r="C38" s="11">
        <x:v>1</x:v>
      </x:c>
      <x:c r="D38" s="11">
        <x:v>0</x:v>
      </x:c>
      <x:c r="E38" s="11">
        <x:v>0</x:v>
      </x:c>
      <x:c r="F38" s="11">
        <x:v>0</x:v>
      </x:c>
      <x:c r="G38" s="11">
        <x:v>0</x:v>
      </x:c>
      <x:c r="H38" s="11">
        <x:v>0</x:v>
      </x:c>
      <x:c r="I38" s="11">
        <x:v>0</x:v>
      </x:c>
      <x:c r="J38" s="11">
        <x:v>0</x:v>
      </x:c>
      <x:c r="K38" s="11">
        <x:v>0</x:v>
      </x:c>
      <x:c r="L38" s="11">
        <x:v>0</x:v>
      </x:c>
      <x:c r="M38" s="11">
        <x:v>0</x:v>
      </x:c>
      <x:c r="N38" s="11">
        <x:v>0</x:v>
      </x:c>
    </x:row>
    <x:row r="39">
      <x:c r="A39" s="5" t="s">
        <x:v>212</x:v>
      </x:c>
      <x:c r="B39" s="5">
        <x:v>7</x:v>
      </x:c>
      <x:c r="C39" s="11">
        <x:v>0</x:v>
      </x:c>
      <x:c r="D39" s="11">
        <x:v>0</x:v>
      </x:c>
      <x:c r="E39" s="11">
        <x:v>1</x:v>
      </x:c>
      <x:c r="F39" s="11">
        <x:v>0</x:v>
      </x:c>
      <x:c r="G39" s="11">
        <x:v>0</x:v>
      </x:c>
      <x:c r="H39" s="11">
        <x:v>1</x:v>
      </x:c>
      <x:c r="I39" s="11">
        <x:v>0</x:v>
      </x:c>
      <x:c r="J39" s="11">
        <x:v>0</x:v>
      </x:c>
      <x:c r="K39" s="11">
        <x:v>0</x:v>
      </x:c>
      <x:c r="L39" s="11">
        <x:v>0</x:v>
      </x:c>
      <x:c r="M39" s="11">
        <x:v>0</x:v>
      </x:c>
      <x:c r="N39" s="11">
        <x:v>0</x:v>
      </x:c>
    </x:row>
    <x:row r="40">
      <x:c r="A40" s="5" t="s">
        <x:v>212</x:v>
      </x:c>
      <x:c r="B40" s="5">
        <x:v>8</x:v>
      </x:c>
      <x:c r="C40" s="11">
        <x:v>0</x:v>
      </x:c>
      <x:c r="D40" s="11">
        <x:v>0</x:v>
      </x:c>
      <x:c r="E40" s="11">
        <x:v>0</x:v>
      </x:c>
      <x:c r="F40" s="11">
        <x:v>0</x:v>
      </x:c>
      <x:c r="G40" s="11">
        <x:v>0</x:v>
      </x:c>
      <x:c r="H40" s="11">
        <x:v>0</x:v>
      </x:c>
      <x:c r="I40" s="11">
        <x:v>0</x:v>
      </x:c>
      <x:c r="J40" s="11">
        <x:v>1</x:v>
      </x:c>
      <x:c r="K40" s="11">
        <x:v>0</x:v>
      </x:c>
      <x:c r="L40" s="11">
        <x:v>0</x:v>
      </x:c>
      <x:c r="M40" s="11">
        <x:v>0</x:v>
      </x:c>
      <x:c r="N40" s="11">
        <x:v>0</x:v>
      </x:c>
    </x:row>
    <x:row r="41">
      <x:c r="A41" s="5" t="s">
        <x:v>212</x:v>
      </x:c>
      <x:c r="B41" s="5">
        <x:v>9</x:v>
      </x:c>
      <x:c r="C41" s="11">
        <x:v>0</x:v>
      </x:c>
      <x:c r="D41" s="11">
        <x:v>0</x:v>
      </x:c>
      <x:c r="E41" s="11">
        <x:v>0</x:v>
      </x:c>
      <x:c r="F41" s="11">
        <x:v>0</x:v>
      </x:c>
      <x:c r="G41" s="11">
        <x:v>1</x:v>
      </x:c>
      <x:c r="H41" s="11">
        <x:v>0</x:v>
      </x:c>
      <x:c r="I41" s="11">
        <x:v>0</x:v>
      </x:c>
      <x:c r="J41" s="11">
        <x:v>0</x:v>
      </x:c>
      <x:c r="K41" s="11">
        <x:v>0</x:v>
      </x:c>
      <x:c r="L41" s="11">
        <x:v>0</x:v>
      </x:c>
      <x:c r="M41" s="11">
        <x:v>0</x:v>
      </x:c>
      <x:c r="N41" s="11">
        <x:v>0</x:v>
      </x:c>
    </x:row>
    <x:row r="42">
      <x:c r="A42" s="5" t="s">
        <x:v>212</x:v>
      </x:c>
      <x:c r="B42" s="5">
        <x:v>10</x:v>
      </x:c>
      <x:c r="C42" s="11">
        <x:v>0</x:v>
      </x:c>
      <x:c r="D42" s="11">
        <x:v>0</x:v>
      </x:c>
      <x:c r="E42" s="11">
        <x:v>0</x:v>
      </x:c>
      <x:c r="F42" s="11">
        <x:v>0</x:v>
      </x:c>
      <x:c r="G42" s="11">
        <x:v>0</x:v>
      </x:c>
      <x:c r="H42" s="11">
        <x:v>0</x:v>
      </x:c>
      <x:c r="I42" s="11">
        <x:v>0</x:v>
      </x:c>
      <x:c r="J42" s="11">
        <x:v>0</x:v>
      </x:c>
      <x:c r="K42" s="11">
        <x:v>0</x:v>
      </x:c>
      <x:c r="L42" s="11">
        <x:v>0</x:v>
      </x:c>
      <x:c r="M42" s="11">
        <x:v>0</x:v>
      </x:c>
      <x:c r="N42" s="11">
        <x:v>0</x:v>
      </x:c>
    </x:row>
    <x:row r="43">
      <x:c r="A43" s="5" t="s">
        <x:v>212</x:v>
      </x:c>
      <x:c r="B43" s="5">
        <x:v>11</x:v>
      </x:c>
      <x:c r="C43" s="11">
        <x:v>0</x:v>
      </x:c>
      <x:c r="D43" s="11">
        <x:v>0</x:v>
      </x:c>
      <x:c r="E43" s="11">
        <x:v>1</x:v>
      </x:c>
      <x:c r="F43" s="11">
        <x:v>0</x:v>
      </x:c>
      <x:c r="G43" s="11">
        <x:v>0</x:v>
      </x:c>
      <x:c r="H43" s="11">
        <x:v>0</x:v>
      </x:c>
      <x:c r="I43" s="11">
        <x:v>0</x:v>
      </x:c>
      <x:c r="J43" s="11">
        <x:v>0</x:v>
      </x:c>
      <x:c r="K43" s="11">
        <x:v>0</x:v>
      </x:c>
      <x:c r="L43" s="11">
        <x:v>0</x:v>
      </x:c>
      <x:c r="M43" s="11">
        <x:v>0</x:v>
      </x:c>
      <x:c r="N43" s="11">
        <x:v>0</x:v>
      </x:c>
    </x:row>
    <x:row r="44">
      <x:c r="A44" s="5" t="s">
        <x:v>212</x:v>
      </x:c>
      <x:c r="B44" s="5">
        <x:v>12</x:v>
      </x:c>
      <x:c r="C44" s="11">
        <x:v>0</x:v>
      </x:c>
      <x:c r="D44" s="11">
        <x:v>0</x:v>
      </x:c>
      <x:c r="E44" s="11">
        <x:v>0</x:v>
      </x:c>
      <x:c r="F44" s="11">
        <x:v>0</x:v>
      </x:c>
      <x:c r="G44" s="11">
        <x:v>0</x:v>
      </x:c>
      <x:c r="H44" s="11">
        <x:v>0</x:v>
      </x:c>
      <x:c r="I44" s="11">
        <x:v>0</x:v>
      </x:c>
      <x:c r="J44" s="11">
        <x:v>0</x:v>
      </x:c>
      <x:c r="K44" s="11">
        <x:v>0</x:v>
      </x:c>
      <x:c r="L44" s="11">
        <x:v>0</x:v>
      </x:c>
      <x:c r="M44" s="11">
        <x:v>0</x:v>
      </x:c>
      <x:c r="N44" s="11">
        <x:v>1</x:v>
      </x:c>
    </x:row>
    <x:row r="45">
      <x:c r="A45" s="5" t="s">
        <x:v>212</x:v>
      </x:c>
      <x:c r="B45" s="5">
        <x:v>13</x:v>
      </x:c>
      <x:c r="C45" s="11">
        <x:v>0</x:v>
      </x:c>
      <x:c r="D45" s="11">
        <x:v>0</x:v>
      </x:c>
      <x:c r="E45" s="11">
        <x:v>1</x:v>
      </x:c>
      <x:c r="F45" s="11">
        <x:v>0</x:v>
      </x:c>
      <x:c r="G45" s="11">
        <x:v>0</x:v>
      </x:c>
      <x:c r="H45" s="11">
        <x:v>0</x:v>
      </x:c>
      <x:c r="I45" s="11">
        <x:v>1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</x:row>
    <x:row r="46">
      <x:c r="A46" s="5" t="s">
        <x:v>212</x:v>
      </x:c>
      <x:c r="B46" s="5">
        <x:v>14</x:v>
      </x:c>
      <x:c r="C46" s="11">
        <x:v>0</x:v>
      </x:c>
      <x:c r="D46" s="11">
        <x:v>0</x:v>
      </x:c>
      <x:c r="E46" s="11">
        <x:v>0</x:v>
      </x:c>
      <x:c r="F46" s="11">
        <x:v>0</x:v>
      </x:c>
      <x:c r="G46" s="11">
        <x:v>0</x:v>
      </x:c>
      <x:c r="H46" s="11">
        <x:v>1</x:v>
      </x:c>
      <x:c r="I46" s="11">
        <x:v>0</x:v>
      </x:c>
      <x:c r="J46" s="11">
        <x:v>1</x:v>
      </x:c>
      <x:c r="K46" s="11">
        <x:v>0</x:v>
      </x:c>
      <x:c r="L46" s="11">
        <x:v>0</x:v>
      </x:c>
      <x:c r="M46" s="11">
        <x:v>0</x:v>
      </x:c>
      <x:c r="N46" s="11">
        <x:v>0</x:v>
      </x:c>
    </x:row>
    <x:row r="47">
      <x:c r="A47" s="5" t="s">
        <x:v>212</x:v>
      </x:c>
      <x:c r="B47" s="5">
        <x:v>15</x:v>
      </x:c>
      <x:c r="C47" s="11">
        <x:v>0</x:v>
      </x:c>
      <x:c r="D47" s="11">
        <x:v>0</x:v>
      </x:c>
      <x:c r="E47" s="11">
        <x:v>0</x:v>
      </x:c>
      <x:c r="F47" s="11">
        <x:v>0</x:v>
      </x:c>
      <x:c r="G47" s="11">
        <x:v>0</x:v>
      </x:c>
      <x:c r="H47" s="11">
        <x:v>0</x:v>
      </x:c>
      <x:c r="I47" s="11">
        <x:v>0</x:v>
      </x:c>
      <x:c r="J47" s="11">
        <x:v>0</x:v>
      </x:c>
      <x:c r="K47" s="11">
        <x:v>0</x:v>
      </x:c>
      <x:c r="L47" s="11">
        <x:v>0</x:v>
      </x:c>
      <x:c r="M47" s="11">
        <x:v>0</x:v>
      </x:c>
      <x:c r="N47" s="11">
        <x:v>0</x:v>
      </x:c>
    </x:row>
    <x:row r="48">
      <x:c r="A48" s="5" t="s">
        <x:v>212</x:v>
      </x:c>
      <x:c r="B48" s="5">
        <x:v>16</x:v>
      </x:c>
      <x:c r="C48" s="11">
        <x:v>0</x:v>
      </x:c>
      <x:c r="D48" s="11">
        <x:v>0</x:v>
      </x:c>
      <x:c r="E48" s="11">
        <x:v>0</x:v>
      </x:c>
      <x:c r="F48" s="11">
        <x:v>0</x:v>
      </x:c>
      <x:c r="G48" s="11">
        <x:v>1</x:v>
      </x:c>
      <x:c r="H48" s="11">
        <x:v>0</x:v>
      </x:c>
      <x:c r="I48" s="11">
        <x:v>0</x:v>
      </x:c>
      <x:c r="J48" s="11">
        <x:v>0</x:v>
      </x:c>
      <x:c r="K48" s="11">
        <x:v>0</x:v>
      </x:c>
      <x:c r="L48" s="11">
        <x:v>0</x:v>
      </x:c>
      <x:c r="M48" s="11">
        <x:v>0</x:v>
      </x:c>
      <x:c r="N48" s="11">
        <x:v>0</x:v>
      </x:c>
    </x:row>
    <x:row r="49">
      <x:c r="A49" s="5" t="s">
        <x:v>212</x:v>
      </x:c>
      <x:c r="B49" s="5">
        <x:v>17</x:v>
      </x:c>
      <x:c r="C49" s="11">
        <x:v>1</x:v>
      </x:c>
      <x:c r="D49" s="11">
        <x:v>0</x:v>
      </x:c>
      <x:c r="E49" s="11">
        <x:v>0</x:v>
      </x:c>
      <x:c r="F49" s="11">
        <x:v>0</x:v>
      </x:c>
      <x:c r="G49" s="11">
        <x:v>0</x:v>
      </x:c>
      <x:c r="H49" s="11">
        <x:v>0</x:v>
      </x:c>
      <x:c r="I49" s="11">
        <x:v>0</x:v>
      </x:c>
      <x:c r="J49" s="11">
        <x:v>0</x:v>
      </x:c>
      <x:c r="K49" s="11">
        <x:v>1</x:v>
      </x:c>
      <x:c r="L49" s="11">
        <x:v>0</x:v>
      </x:c>
      <x:c r="M49" s="11">
        <x:v>0</x:v>
      </x:c>
      <x:c r="N49" s="11">
        <x:v>0</x:v>
      </x:c>
    </x:row>
    <x:row r="50">
      <x:c r="A50" s="5" t="s">
        <x:v>212</x:v>
      </x:c>
      <x:c r="B50" s="5">
        <x:v>18</x:v>
      </x:c>
      <x:c r="C50" s="11">
        <x:v>1</x:v>
      </x:c>
      <x:c r="D50" s="11">
        <x:v>0</x:v>
      </x:c>
      <x:c r="E50" s="11">
        <x:v>0</x:v>
      </x:c>
      <x:c r="F50" s="11">
        <x:v>1</x:v>
      </x:c>
      <x:c r="G50" s="11">
        <x:v>0</x:v>
      </x:c>
      <x:c r="H50" s="11">
        <x:v>0</x:v>
      </x:c>
      <x:c r="I50" s="11">
        <x:v>1</x:v>
      </x:c>
      <x:c r="J50" s="11">
        <x:v>0</x:v>
      </x:c>
      <x:c r="K50" s="11">
        <x:v>0</x:v>
      </x:c>
      <x:c r="L50" s="11">
        <x:v>0</x:v>
      </x:c>
      <x:c r="M50" s="11">
        <x:v>0</x:v>
      </x:c>
      <x:c r="N50" s="11">
        <x:v>0</x:v>
      </x:c>
    </x:row>
    <x:row r="51">
      <x:c r="A51" s="5" t="s">
        <x:v>212</x:v>
      </x:c>
      <x:c r="B51" s="5">
        <x:v>19</x:v>
      </x:c>
      <x:c r="C51" s="11">
        <x:v>0</x:v>
      </x:c>
      <x:c r="D51" s="11">
        <x:v>1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1</x:v>
      </x:c>
      <x:c r="N51" s="11">
        <x:v>0</x:v>
      </x:c>
    </x:row>
    <x:row r="52">
      <x:c r="A52" s="5" t="s">
        <x:v>212</x:v>
      </x:c>
      <x:c r="B52" s="5">
        <x:v>20</x:v>
      </x:c>
      <x:c r="C52" s="11">
        <x:v>0</x:v>
      </x:c>
      <x:c r="D52" s="11">
        <x:v>1</x:v>
      </x:c>
      <x:c r="E52" s="11">
        <x:v>0</x:v>
      </x:c>
      <x:c r="F52" s="11">
        <x:v>1</x:v>
      </x:c>
      <x:c r="G52" s="11">
        <x:v>0</x:v>
      </x:c>
      <x:c r="H52" s="11">
        <x:v>0</x:v>
      </x:c>
      <x:c r="I52" s="11">
        <x:v>1</x:v>
      </x:c>
      <x:c r="J52" s="11">
        <x:v>0</x:v>
      </x:c>
      <x:c r="K52" s="11">
        <x:v>0</x:v>
      </x:c>
      <x:c r="L52" s="11">
        <x:v>0</x:v>
      </x:c>
      <x:c r="M52" s="11">
        <x:v>0</x:v>
      </x:c>
      <x:c r="N52" s="11">
        <x:v>0</x:v>
      </x:c>
    </x:row>
    <x:row r="53">
      <x:c r="A53" s="5" t="s">
        <x:v>212</x:v>
      </x:c>
      <x:c r="B53" s="5">
        <x:v>21</x:v>
      </x:c>
      <x:c r="C53" s="11">
        <x:v>0</x:v>
      </x:c>
      <x:c r="D53" s="11">
        <x:v>0</x:v>
      </x:c>
      <x:c r="E53" s="11">
        <x:v>0</x:v>
      </x:c>
      <x:c r="F53" s="11">
        <x:v>1</x:v>
      </x:c>
      <x:c r="G53" s="11">
        <x:v>1</x:v>
      </x:c>
      <x:c r="H53" s="11">
        <x:v>0</x:v>
      </x:c>
      <x:c r="I53" s="11">
        <x:v>0</x:v>
      </x:c>
      <x:c r="J53" s="11">
        <x:v>0</x:v>
      </x:c>
      <x:c r="K53" s="11">
        <x:v>0</x:v>
      </x:c>
      <x:c r="L53" s="11">
        <x:v>0</x:v>
      </x:c>
      <x:c r="M53" s="11">
        <x:v>0</x:v>
      </x:c>
      <x:c r="N53" s="11">
        <x:v>0</x:v>
      </x:c>
    </x:row>
    <x:row r="54">
      <x:c r="A54" s="5" t="s">
        <x:v>212</x:v>
      </x:c>
      <x:c r="B54" s="5">
        <x:v>22</x:v>
      </x:c>
      <x:c r="C54" s="11">
        <x:v>0</x:v>
      </x:c>
      <x:c r="D54" s="11">
        <x:v>1</x:v>
      </x:c>
      <x:c r="E54" s="11">
        <x:v>0</x:v>
      </x:c>
      <x:c r="F54" s="11">
        <x:v>0</x:v>
      </x:c>
      <x:c r="G54" s="11">
        <x:v>0</x:v>
      </x:c>
      <x:c r="H54" s="11">
        <x:v>0</x:v>
      </x:c>
      <x:c r="I54" s="11">
        <x:v>0</x:v>
      </x:c>
      <x:c r="J54" s="11">
        <x:v>1</x:v>
      </x:c>
      <x:c r="K54" s="11">
        <x:v>0</x:v>
      </x:c>
      <x:c r="L54" s="11">
        <x:v>0</x:v>
      </x:c>
      <x:c r="M54" s="11">
        <x:v>0</x:v>
      </x:c>
      <x:c r="N54" s="11">
        <x:v>0</x:v>
      </x:c>
    </x:row>
    <x:row r="55">
      <x:c r="A55" s="5" t="s">
        <x:v>212</x:v>
      </x:c>
      <x:c r="B55" s="5">
        <x:v>23</x:v>
      </x:c>
      <x:c r="C55" s="11">
        <x:v>1</x:v>
      </x:c>
      <x:c r="D55" s="11">
        <x:v>0</x:v>
      </x:c>
      <x:c r="E55" s="11">
        <x:v>0</x:v>
      </x:c>
      <x:c r="F55" s="11">
        <x:v>1</x:v>
      </x:c>
      <x:c r="G55" s="11">
        <x:v>1</x:v>
      </x:c>
      <x:c r="H55" s="11">
        <x:v>1</x:v>
      </x:c>
      <x:c r="I55" s="11">
        <x:v>0</x:v>
      </x:c>
      <x:c r="J55" s="11">
        <x:v>0</x:v>
      </x:c>
      <x:c r="K55" s="11">
        <x:v>0</x:v>
      </x:c>
      <x:c r="L55" s="11">
        <x:v>0</x:v>
      </x:c>
      <x:c r="M55" s="11">
        <x:v>0</x:v>
      </x:c>
      <x:c r="N55" s="11">
        <x:v>0</x:v>
      </x:c>
    </x:row>
    <x:row r="56">
      <x:c r="A56" s="5" t="s">
        <x:v>212</x:v>
      </x:c>
      <x:c r="B56" s="5">
        <x:v>24</x:v>
      </x:c>
      <x:c r="C56" s="11">
        <x:v>1</x:v>
      </x:c>
      <x:c r="D56" s="11">
        <x:v>0</x:v>
      </x:c>
      <x:c r="E56" s="11">
        <x:v>0</x:v>
      </x:c>
      <x:c r="F56" s="11">
        <x:v>0</x:v>
      </x:c>
      <x:c r="G56" s="11">
        <x:v>0</x:v>
      </x:c>
      <x:c r="H56" s="11">
        <x:v>0</x:v>
      </x:c>
      <x:c r="I56" s="11">
        <x:v>0</x:v>
      </x:c>
      <x:c r="J56" s="11">
        <x:v>0</x:v>
      </x:c>
      <x:c r="K56" s="11">
        <x:v>1</x:v>
      </x:c>
      <x:c r="L56" s="11">
        <x:v>0</x:v>
      </x:c>
      <x:c r="M56" s="11">
        <x:v>0</x:v>
      </x:c>
      <x:c r="N56" s="11">
        <x:v>0</x:v>
      </x:c>
    </x:row>
    <x:row r="57">
      <x:c r="A57" s="5" t="s">
        <x:v>212</x:v>
      </x:c>
      <x:c r="B57" s="5">
        <x:v>25</x:v>
      </x:c>
      <x:c r="C57" s="11">
        <x:v>0</x:v>
      </x:c>
      <x:c r="D57" s="11">
        <x:v>0</x:v>
      </x:c>
      <x:c r="E57" s="11">
        <x:v>0</x:v>
      </x:c>
      <x:c r="F57" s="11">
        <x:v>0</x:v>
      </x:c>
      <x:c r="G57" s="11">
        <x:v>0</x:v>
      </x:c>
      <x:c r="H57" s="11">
        <x:v>0</x:v>
      </x:c>
      <x:c r="I57" s="11">
        <x:v>0</x:v>
      </x:c>
      <x:c r="J57" s="11">
        <x:v>0</x:v>
      </x:c>
      <x:c r="K57" s="11">
        <x:v>0</x:v>
      </x:c>
      <x:c r="L57" s="11">
        <x:v>0</x:v>
      </x:c>
      <x:c r="M57" s="11">
        <x:v>0</x:v>
      </x:c>
      <x:c r="N57" s="11">
        <x:v>0</x:v>
      </x:c>
    </x:row>
    <x:row r="58">
      <x:c r="A58" s="5" t="s">
        <x:v>212</x:v>
      </x:c>
      <x:c r="B58" s="5">
        <x:v>26</x:v>
      </x:c>
      <x:c r="C58" s="11">
        <x:v>0</x:v>
      </x:c>
      <x:c r="D58" s="11">
        <x:v>1</x:v>
      </x:c>
      <x:c r="E58" s="11">
        <x:v>1</x:v>
      </x:c>
      <x:c r="F58" s="11">
        <x:v>0</x:v>
      </x:c>
      <x:c r="G58" s="11">
        <x:v>0</x:v>
      </x:c>
      <x:c r="H58" s="11">
        <x:v>0</x:v>
      </x:c>
      <x:c r="I58" s="11">
        <x:v>0</x:v>
      </x:c>
      <x:c r="J58" s="11">
        <x:v>0</x:v>
      </x:c>
      <x:c r="K58" s="11">
        <x:v>0</x:v>
      </x:c>
      <x:c r="L58" s="11">
        <x:v>0</x:v>
      </x:c>
      <x:c r="M58" s="11">
        <x:v>0</x:v>
      </x:c>
      <x:c r="N58" s="11">
        <x:v>0</x:v>
      </x:c>
    </x:row>
    <x:row r="59">
      <x:c r="A59" s="5" t="s">
        <x:v>212</x:v>
      </x:c>
      <x:c r="B59" s="5">
        <x:v>27</x:v>
      </x:c>
      <x:c r="C59" s="11">
        <x:v>0</x:v>
      </x:c>
      <x:c r="D59" s="11">
        <x:v>0</x:v>
      </x:c>
      <x:c r="E59" s="11">
        <x:v>0</x:v>
      </x:c>
      <x:c r="F59" s="11">
        <x:v>0</x:v>
      </x:c>
      <x:c r="G59" s="11">
        <x:v>0</x:v>
      </x:c>
      <x:c r="H59" s="11">
        <x:v>1</x:v>
      </x:c>
      <x:c r="I59" s="11">
        <x:v>0</x:v>
      </x:c>
      <x:c r="J59" s="11">
        <x:v>0</x:v>
      </x:c>
      <x:c r="K59" s="11">
        <x:v>0</x:v>
      </x:c>
      <x:c r="L59" s="11">
        <x:v>0</x:v>
      </x:c>
      <x:c r="M59" s="11">
        <x:v>0</x:v>
      </x:c>
      <x:c r="N59" s="11">
        <x:v>0</x:v>
      </x:c>
    </x:row>
    <x:row r="60">
      <x:c r="A60" s="5" t="s">
        <x:v>212</x:v>
      </x:c>
      <x:c r="B60" s="5">
        <x:v>28</x:v>
      </x:c>
      <x:c r="C60" s="11">
        <x:v>0</x:v>
      </x:c>
      <x:c r="D60" s="11">
        <x:v>0</x:v>
      </x:c>
      <x:c r="E60" s="11">
        <x:v>1</x:v>
      </x:c>
      <x:c r="F60" s="11">
        <x:v>0</x:v>
      </x:c>
      <x:c r="G60" s="11">
        <x:v>0</x:v>
      </x:c>
      <x:c r="H60" s="11">
        <x:v>0</x:v>
      </x:c>
      <x:c r="I60" s="11">
        <x:v>0</x:v>
      </x:c>
      <x:c r="J60" s="11">
        <x:v>0</x:v>
      </x:c>
      <x:c r="K60" s="11">
        <x:v>0</x:v>
      </x:c>
      <x:c r="L60" s="11">
        <x:v>1</x:v>
      </x:c>
      <x:c r="M60" s="11">
        <x:v>0</x:v>
      </x:c>
      <x:c r="N60" s="11">
        <x:v>0</x:v>
      </x:c>
    </x:row>
    <x:row r="61">
      <x:c r="A61" s="5" t="s">
        <x:v>212</x:v>
      </x:c>
      <x:c r="B61" s="5">
        <x:v>54</x:v>
      </x:c>
      <x:c r="C61" s="11">
        <x:v>0</x:v>
      </x:c>
      <x:c r="D61" s="11">
        <x:v>1</x:v>
      </x:c>
      <x:c r="E61" s="11">
        <x:v>0</x:v>
      </x:c>
      <x:c r="F61" s="11">
        <x:v>0</x:v>
      </x:c>
      <x:c r="G61" s="11">
        <x:v>0</x:v>
      </x:c>
      <x:c r="H61" s="11">
        <x:v>0</x:v>
      </x:c>
      <x:c r="I61" s="11">
        <x:v>0</x:v>
      </x:c>
      <x:c r="J61" s="11">
        <x:v>0</x:v>
      </x:c>
      <x:c r="K61" s="11">
        <x:v>0</x:v>
      </x:c>
      <x:c r="L61" s="11">
        <x:v>0</x:v>
      </x:c>
      <x:c r="M61" s="11">
        <x:v>0</x:v>
      </x:c>
      <x:c r="N61" s="11">
        <x:v>0</x:v>
      </x:c>
    </x:row>
    <x:row r="62">
      <x:c r="A62" s="5" t="s">
        <x:v>212</x:v>
      </x:c>
      <x:c r="B62" s="5">
        <x:v>55</x:v>
      </x:c>
      <x:c r="C62" s="11">
        <x:v>0</x:v>
      </x:c>
      <x:c r="D62" s="11">
        <x:v>0</x:v>
      </x:c>
      <x:c r="E62" s="11">
        <x:v>0</x:v>
      </x:c>
      <x:c r="F62" s="11">
        <x:v>0</x:v>
      </x:c>
      <x:c r="G62" s="11">
        <x:v>1</x:v>
      </x:c>
      <x:c r="H62" s="11">
        <x:v>0</x:v>
      </x:c>
      <x:c r="I62" s="11">
        <x:v>0</x:v>
      </x:c>
      <x:c r="J62" s="11">
        <x:v>0</x:v>
      </x:c>
      <x:c r="K62" s="11">
        <x:v>0</x:v>
      </x:c>
      <x:c r="L62" s="11">
        <x:v>0</x:v>
      </x:c>
      <x:c r="M62" s="11">
        <x:v>0</x:v>
      </x:c>
      <x:c r="N62" s="11">
        <x:v>0</x:v>
      </x:c>
    </x:row>
    <x:row r="63">
      <x:c r="A63" s="5" t="s">
        <x:v>212</x:v>
      </x:c>
      <x:c r="B63" s="5">
        <x:v>56</x:v>
      </x:c>
      <x:c r="C63" s="11">
        <x:v>0</x:v>
      </x:c>
      <x:c r="D63" s="11">
        <x:v>1</x:v>
      </x:c>
      <x:c r="E63" s="11">
        <x:v>0</x:v>
      </x:c>
      <x:c r="F63" s="11">
        <x:v>0</x:v>
      </x:c>
      <x:c r="G63" s="11">
        <x:v>0</x:v>
      </x:c>
      <x:c r="H63" s="11">
        <x:v>1</x:v>
      </x:c>
      <x:c r="I63" s="11">
        <x:v>0</x:v>
      </x:c>
      <x:c r="J63" s="11">
        <x:v>0</x:v>
      </x:c>
      <x:c r="K63" s="11">
        <x:v>0</x:v>
      </x:c>
      <x:c r="L63" s="11">
        <x:v>0</x:v>
      </x:c>
      <x:c r="M63" s="11">
        <x:v>0</x:v>
      </x:c>
      <x:c r="N63" s="11">
        <x:v>0</x:v>
      </x:c>
    </x:row>
    <x:row r="64">
      <x:c r="A64" s="5" t="s">
        <x:v>212</x:v>
      </x:c>
      <x:c r="B64" s="5">
        <x:v>57</x:v>
      </x:c>
      <x:c r="C64" s="11">
        <x:v>0</x:v>
      </x:c>
      <x:c r="D64" s="11">
        <x:v>1</x:v>
      </x:c>
      <x:c r="E64" s="11">
        <x:v>0</x:v>
      </x:c>
      <x:c r="F64" s="11">
        <x:v>0</x:v>
      </x:c>
      <x:c r="G64" s="11">
        <x:v>0</x:v>
      </x:c>
      <x:c r="H64" s="11">
        <x:v>0</x:v>
      </x:c>
      <x:c r="I64" s="11">
        <x:v>0</x:v>
      </x:c>
      <x:c r="J64" s="11">
        <x:v>0</x:v>
      </x:c>
      <x:c r="K64" s="11">
        <x:v>1</x:v>
      </x:c>
      <x:c r="L64" s="11">
        <x:v>0</x:v>
      </x:c>
      <x:c r="M64" s="11">
        <x:v>0</x:v>
      </x:c>
      <x:c r="N64" s="11">
        <x:v>0</x:v>
      </x:c>
    </x:row>
    <x:row r="65">
      <x:c r="A65" s="5" t="s">
        <x:v>212</x:v>
      </x:c>
      <x:c r="B65" s="5">
        <x:v>58</x:v>
      </x:c>
      <x:c r="C65" s="11">
        <x:v>0</x:v>
      </x:c>
      <x:c r="D65" s="11">
        <x:v>0</x:v>
      </x:c>
      <x:c r="E65" s="11">
        <x:v>0</x:v>
      </x:c>
      <x:c r="F65" s="11">
        <x:v>0</x:v>
      </x:c>
      <x:c r="G65" s="11">
        <x:v>0</x:v>
      </x:c>
      <x:c r="H65" s="11">
        <x:v>0</x:v>
      </x:c>
      <x:c r="I65" s="11">
        <x:v>0</x:v>
      </x:c>
      <x:c r="J65" s="11">
        <x:v>0</x:v>
      </x:c>
      <x:c r="K65" s="11">
        <x:v>0</x:v>
      </x:c>
      <x:c r="L65" s="11">
        <x:v>0</x:v>
      </x:c>
      <x:c r="M65" s="11">
        <x:v>0</x:v>
      </x:c>
      <x:c r="N65" s="11">
        <x:v>0</x:v>
      </x:c>
    </x:row>
    <x:row r="66">
      <x:c r="A66" s="5" t="s">
        <x:v>212</x:v>
      </x:c>
      <x:c r="B66" s="5">
        <x:v>59</x:v>
      </x:c>
      <x:c r="C66" s="11">
        <x:v>0</x:v>
      </x:c>
      <x:c r="D66" s="11">
        <x:v>0</x:v>
      </x:c>
      <x:c r="E66" s="11">
        <x:v>0</x:v>
      </x:c>
      <x:c r="F66" s="11">
        <x:v>1</x:v>
      </x:c>
      <x:c r="G66" s="11">
        <x:v>0</x:v>
      </x:c>
      <x:c r="H66" s="11">
        <x:v>0</x:v>
      </x:c>
      <x:c r="I66" s="11">
        <x:v>1</x:v>
      </x:c>
      <x:c r="J66" s="11">
        <x:v>0</x:v>
      </x:c>
      <x:c r="K66" s="11">
        <x:v>0</x:v>
      </x:c>
      <x:c r="L66" s="11">
        <x:v>0</x:v>
      </x:c>
      <x:c r="M66" s="11">
        <x:v>0</x:v>
      </x:c>
      <x:c r="N66" s="11">
        <x:v>0</x:v>
      </x:c>
    </x:row>
    <x:row r="67">
      <x:c r="A67" s="5" t="s">
        <x:v>212</x:v>
      </x:c>
      <x:c r="B67" s="5">
        <x:v>60</x:v>
      </x:c>
      <x:c r="C67" s="11">
        <x:v>0</x:v>
      </x:c>
      <x:c r="D67" s="11">
        <x:v>0</x:v>
      </x:c>
      <x:c r="E67" s="11">
        <x:v>1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</x:row>
    <x:row r="68">
      <x:c r="A68" s="5" t="s">
        <x:v>212</x:v>
      </x:c>
      <x:c r="B68" s="5">
        <x:v>61</x:v>
      </x:c>
      <x:c r="C68" s="11">
        <x:v>0</x:v>
      </x:c>
      <x:c r="D68" s="11">
        <x:v>1</x:v>
      </x:c>
      <x:c r="E68" s="11">
        <x:v>0</x:v>
      </x:c>
      <x:c r="F68" s="11">
        <x:v>0</x:v>
      </x:c>
      <x:c r="G68" s="11">
        <x:v>0</x:v>
      </x:c>
      <x:c r="H68" s="11">
        <x:v>0</x:v>
      </x:c>
      <x:c r="I68" s="11">
        <x:v>0</x:v>
      </x:c>
      <x:c r="J68" s="11">
        <x:v>0</x:v>
      </x:c>
      <x:c r="K68" s="11">
        <x:v>0</x:v>
      </x:c>
      <x:c r="L68" s="11">
        <x:v>0</x:v>
      </x:c>
      <x:c r="M68" s="11">
        <x:v>0</x:v>
      </x:c>
      <x:c r="N68" s="11">
        <x:v>0</x:v>
      </x:c>
    </x:row>
    <x:row r="69">
      <x:c r="A69" s="5" t="s">
        <x:v>212</x:v>
      </x:c>
      <x:c r="B69" s="5">
        <x:v>62</x:v>
      </x:c>
      <x:c r="C69" s="11">
        <x:v>0</x:v>
      </x:c>
      <x:c r="D69" s="11">
        <x:v>0</x:v>
      </x:c>
      <x:c r="E69" s="11">
        <x:v>0</x:v>
      </x:c>
      <x:c r="F69" s="11">
        <x:v>0</x:v>
      </x:c>
      <x:c r="G69" s="11">
        <x:v>1</x:v>
      </x:c>
      <x:c r="H69" s="11">
        <x:v>0</x:v>
      </x:c>
      <x:c r="I69" s="11">
        <x:v>0</x:v>
      </x:c>
      <x:c r="J69" s="11">
        <x:v>0</x:v>
      </x:c>
      <x:c r="K69" s="11">
        <x:v>0</x:v>
      </x:c>
      <x:c r="L69" s="11">
        <x:v>0</x:v>
      </x:c>
      <x:c r="M69" s="11">
        <x:v>0</x:v>
      </x:c>
      <x:c r="N69" s="11">
        <x:v>0</x:v>
      </x:c>
    </x:row>
    <x:row r="70">
      <x:c r="A70" s="5" t="s">
        <x:v>212</x:v>
      </x:c>
      <x:c r="B70" s="5">
        <x:v>63</x:v>
      </x:c>
      <x:c r="C70" s="11">
        <x:v>1</x:v>
      </x:c>
      <x:c r="D70" s="11">
        <x:v>0</x:v>
      </x:c>
      <x:c r="E70" s="11">
        <x:v>0</x:v>
      </x:c>
      <x:c r="F70" s="11">
        <x:v>0</x:v>
      </x:c>
      <x:c r="G70" s="11">
        <x:v>0</x:v>
      </x:c>
      <x:c r="H70" s="11">
        <x:v>0</x:v>
      </x:c>
      <x:c r="I70" s="11">
        <x:v>0</x:v>
      </x:c>
      <x:c r="J70" s="11">
        <x:v>0</x:v>
      </x:c>
      <x:c r="K70" s="11">
        <x:v>1</x:v>
      </x:c>
      <x:c r="L70" s="11">
        <x:v>0</x:v>
      </x:c>
      <x:c r="M70" s="11">
        <x:v>0</x:v>
      </x:c>
      <x:c r="N70" s="11">
        <x:v>0</x:v>
      </x:c>
    </x:row>
    <x:row r="71">
      <x:c r="A71" s="5" t="s">
        <x:v>212</x:v>
      </x:c>
      <x:c r="B71" s="5">
        <x:v>64</x:v>
      </x:c>
      <x:c r="C71" s="11">
        <x:v>0</x:v>
      </x:c>
      <x:c r="D71" s="11">
        <x:v>1</x:v>
      </x:c>
      <x:c r="E71" s="11">
        <x:v>0</x:v>
      </x:c>
      <x:c r="F71" s="11">
        <x:v>0</x:v>
      </x:c>
      <x:c r="G71" s="11">
        <x:v>0</x:v>
      </x:c>
      <x:c r="H71" s="11">
        <x:v>0</x:v>
      </x:c>
      <x:c r="I71" s="11">
        <x:v>0</x:v>
      </x:c>
      <x:c r="J71" s="11">
        <x:v>1</x:v>
      </x:c>
      <x:c r="K71" s="11">
        <x:v>0</x:v>
      </x:c>
      <x:c r="L71" s="11">
        <x:v>0</x:v>
      </x:c>
      <x:c r="M71" s="11">
        <x:v>0</x:v>
      </x:c>
      <x:c r="N71" s="11">
        <x:v>0</x:v>
      </x:c>
    </x:row>
    <x:row r="72">
      <x:c r="A72" s="5" t="s">
        <x:v>212</x:v>
      </x:c>
      <x:c r="B72" s="5">
        <x:v>65</x:v>
      </x:c>
      <x:c r="C72" s="11">
        <x:v>0</x:v>
      </x:c>
      <x:c r="D72" s="11">
        <x:v>1</x:v>
      </x:c>
      <x:c r="E72" s="11">
        <x:v>0</x:v>
      </x:c>
      <x:c r="F72" s="11">
        <x:v>0</x:v>
      </x:c>
      <x:c r="G72" s="11">
        <x:v>0</x:v>
      </x:c>
      <x:c r="H72" s="11">
        <x:v>0</x:v>
      </x:c>
      <x:c r="I72" s="11">
        <x:v>0</x:v>
      </x:c>
      <x:c r="J72" s="11">
        <x:v>1</x:v>
      </x:c>
      <x:c r="K72" s="11">
        <x:v>0</x:v>
      </x:c>
      <x:c r="L72" s="11">
        <x:v>0</x:v>
      </x:c>
      <x:c r="M72" s="11">
        <x:v>0</x:v>
      </x:c>
      <x:c r="N72" s="11">
        <x:v>0</x:v>
      </x:c>
    </x:row>
    <x:row r="73">
      <x:c r="A73" s="5" t="s">
        <x:v>212</x:v>
      </x:c>
      <x:c r="B73" s="5">
        <x:v>66</x:v>
      </x:c>
      <x:c r="C73" s="11">
        <x:v>1</x:v>
      </x:c>
      <x:c r="D73" s="11">
        <x:v>0</x:v>
      </x:c>
      <x:c r="E73" s="11">
        <x:v>0</x:v>
      </x:c>
      <x:c r="F73" s="11">
        <x:v>1</x:v>
      </x:c>
      <x:c r="G73" s="11">
        <x:v>1</x:v>
      </x:c>
      <x:c r="H73" s="11">
        <x:v>1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</x:row>
    <x:row r="74">
      <x:c r="A74" s="5" t="s">
        <x:v>212</x:v>
      </x:c>
      <x:c r="B74" s="5">
        <x:v>67</x:v>
      </x:c>
      <x:c r="C74" s="11">
        <x:v>0</x:v>
      </x:c>
      <x:c r="D74" s="11">
        <x:v>0</x:v>
      </x:c>
      <x:c r="E74" s="11">
        <x:v>1</x:v>
      </x:c>
      <x:c r="F74" s="11">
        <x:v>0</x:v>
      </x:c>
      <x:c r="G74" s="11">
        <x:v>0</x:v>
      </x:c>
      <x:c r="H74" s="11">
        <x:v>0</x:v>
      </x:c>
      <x:c r="I74" s="11">
        <x:v>0</x:v>
      </x:c>
      <x:c r="J74" s="11">
        <x:v>0</x:v>
      </x:c>
      <x:c r="K74" s="11">
        <x:v>0</x:v>
      </x:c>
      <x:c r="L74" s="11">
        <x:v>0</x:v>
      </x:c>
      <x:c r="M74" s="11">
        <x:v>0</x:v>
      </x:c>
      <x:c r="N74" s="11">
        <x:v>0</x:v>
      </x:c>
    </x:row>
    <x:row r="75">
      <x:c r="A75" s="5" t="s">
        <x:v>212</x:v>
      </x:c>
      <x:c r="B75" s="5">
        <x:v>68</x:v>
      </x:c>
      <x:c r="C75" s="11">
        <x:v>0</x:v>
      </x:c>
      <x:c r="D75" s="11">
        <x:v>1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1</x:v>
      </x:c>
      <x:c r="K75" s="11">
        <x:v>0</x:v>
      </x:c>
      <x:c r="L75" s="11">
        <x:v>0</x:v>
      </x:c>
      <x:c r="M75" s="11">
        <x:v>0</x:v>
      </x:c>
      <x:c r="N75" s="11">
        <x:v>0</x:v>
      </x:c>
    </x:row>
    <x:row r="76">
      <x:c r="A76" s="5" t="s">
        <x:v>212</x:v>
      </x:c>
      <x:c r="B76" s="5">
        <x:v>69</x:v>
      </x:c>
      <x:c r="C76" s="11">
        <x:v>0</x:v>
      </x:c>
      <x:c r="D76" s="11">
        <x:v>0</x:v>
      </x:c>
      <x:c r="E76" s="11">
        <x:v>0</x:v>
      </x:c>
      <x:c r="F76" s="11">
        <x:v>0</x:v>
      </x:c>
      <x:c r="G76" s="11">
        <x:v>1</x:v>
      </x:c>
      <x:c r="H76" s="11">
        <x:v>1</x:v>
      </x:c>
      <x:c r="I76" s="11">
        <x:v>0</x:v>
      </x:c>
      <x:c r="J76" s="11">
        <x:v>0</x:v>
      </x:c>
      <x:c r="K76" s="11">
        <x:v>0</x:v>
      </x:c>
      <x:c r="L76" s="11">
        <x:v>0</x:v>
      </x:c>
      <x:c r="M76" s="11">
        <x:v>0</x:v>
      </x:c>
      <x:c r="N76" s="11">
        <x:v>0</x:v>
      </x:c>
    </x:row>
    <x:row r="77">
      <x:c r="A77" s="5" t="s">
        <x:v>212</x:v>
      </x:c>
      <x:c r="B77" s="5">
        <x:v>70</x:v>
      </x:c>
      <x:c r="C77" s="11">
        <x:v>0</x:v>
      </x:c>
      <x:c r="D77" s="11">
        <x:v>0</x:v>
      </x:c>
      <x:c r="E77" s="11">
        <x:v>0</x:v>
      </x:c>
      <x:c r="F77" s="11">
        <x:v>0</x:v>
      </x:c>
      <x:c r="G77" s="11">
        <x:v>0</x:v>
      </x:c>
      <x:c r="H77" s="11">
        <x:v>0</x:v>
      </x:c>
      <x:c r="I77" s="11">
        <x:v>0</x:v>
      </x:c>
      <x:c r="J77" s="11">
        <x:v>0</x:v>
      </x:c>
      <x:c r="K77" s="11">
        <x:v>0</x:v>
      </x:c>
      <x:c r="L77" s="11">
        <x:v>0</x:v>
      </x:c>
      <x:c r="M77" s="11">
        <x:v>0</x:v>
      </x:c>
      <x:c r="N77" s="11">
        <x:v>0</x:v>
      </x:c>
    </x:row>
    <x:row r="78">
      <x:c r="A78" s="5" t="s">
        <x:v>212</x:v>
      </x:c>
      <x:c r="B78" s="5">
        <x:v>71</x:v>
      </x:c>
      <x:c r="C78" s="11">
        <x:v>0</x:v>
      </x:c>
      <x:c r="D78" s="11">
        <x:v>0</x:v>
      </x:c>
      <x:c r="E78" s="11">
        <x:v>0</x:v>
      </x:c>
      <x:c r="F78" s="11">
        <x:v>0</x:v>
      </x:c>
      <x:c r="G78" s="11">
        <x:v>0</x:v>
      </x:c>
      <x:c r="H78" s="11">
        <x:v>0</x:v>
      </x:c>
      <x:c r="I78" s="11">
        <x:v>1</x:v>
      </x:c>
      <x:c r="J78" s="11">
        <x:v>1</x:v>
      </x:c>
      <x:c r="K78" s="11">
        <x:v>0</x:v>
      </x:c>
      <x:c r="L78" s="11">
        <x:v>0</x:v>
      </x:c>
      <x:c r="M78" s="11">
        <x:v>0</x:v>
      </x:c>
      <x:c r="N78" s="11">
        <x:v>0</x:v>
      </x:c>
    </x:row>
    <x:row r="79">
      <x:c r="A79" s="5" t="s">
        <x:v>212</x:v>
      </x:c>
      <x:c r="B79" s="5">
        <x:v>72</x:v>
      </x:c>
      <x:c r="C79" s="11">
        <x:v>0</x:v>
      </x:c>
      <x:c r="D79" s="11">
        <x:v>0</x:v>
      </x:c>
      <x:c r="E79" s="11">
        <x:v>0</x:v>
      </x:c>
      <x:c r="F79" s="11">
        <x:v>0</x:v>
      </x:c>
      <x:c r="G79" s="11">
        <x:v>0</x:v>
      </x:c>
      <x:c r="H79" s="11">
        <x:v>0</x:v>
      </x:c>
      <x:c r="I79" s="11">
        <x:v>0</x:v>
      </x:c>
      <x:c r="J79" s="11">
        <x:v>0</x:v>
      </x:c>
      <x:c r="K79" s="11">
        <x:v>0</x:v>
      </x:c>
      <x:c r="L79" s="11">
        <x:v>0</x:v>
      </x:c>
      <x:c r="M79" s="11">
        <x:v>0</x:v>
      </x:c>
      <x:c r="N79" s="11">
        <x:v>1</x:v>
      </x:c>
    </x:row>
    <x:row r="80">
      <x:c r="A80" s="5" t="s">
        <x:v>212</x:v>
      </x:c>
      <x:c r="B80" s="5">
        <x:v>73</x:v>
      </x:c>
      <x:c r="C80" s="11">
        <x:v>1</x:v>
      </x:c>
      <x:c r="D80" s="11">
        <x:v>0</x:v>
      </x:c>
      <x:c r="E80" s="11">
        <x:v>0</x:v>
      </x:c>
      <x:c r="F80" s="11">
        <x:v>0</x:v>
      </x:c>
      <x:c r="G80" s="11">
        <x:v>0</x:v>
      </x:c>
      <x:c r="H80" s="11">
        <x:v>0</x:v>
      </x:c>
      <x:c r="I80" s="11">
        <x:v>0</x:v>
      </x:c>
      <x:c r="J80" s="11">
        <x:v>0</x:v>
      </x:c>
      <x:c r="K80" s="11">
        <x:v>0</x:v>
      </x:c>
      <x:c r="L80" s="11">
        <x:v>0</x:v>
      </x:c>
      <x:c r="M80" s="11">
        <x:v>0</x:v>
      </x:c>
      <x:c r="N80" s="11">
        <x:v>0</x:v>
      </x:c>
    </x:row>
    <x:row r="81">
      <x:c r="A81" s="5" t="s">
        <x:v>212</x:v>
      </x:c>
      <x:c r="B81" s="5">
        <x:v>74</x:v>
      </x:c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1</x:v>
      </x:c>
      <x:c r="H81" s="11">
        <x:v>1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</x:row>
    <x:row r="82">
      <x:c r="A82" s="5" t="s">
        <x:v>212</x:v>
      </x:c>
      <x:c r="B82" s="5">
        <x:v>75</x:v>
      </x:c>
      <x:c r="C82" s="11">
        <x:v>0</x:v>
      </x:c>
      <x:c r="D82" s="11">
        <x:v>1</x:v>
      </x:c>
      <x:c r="E82" s="11">
        <x:v>0</x:v>
      </x:c>
      <x:c r="F82" s="11">
        <x:v>0</x:v>
      </x:c>
      <x:c r="G82" s="11">
        <x:v>0</x:v>
      </x:c>
      <x:c r="H82" s="11">
        <x:v>0</x:v>
      </x:c>
      <x:c r="I82" s="11">
        <x:v>0</x:v>
      </x:c>
      <x:c r="J82" s="11">
        <x:v>0</x:v>
      </x:c>
      <x:c r="K82" s="11">
        <x:v>0</x:v>
      </x:c>
      <x:c r="L82" s="11">
        <x:v>0</x:v>
      </x:c>
      <x:c r="M82" s="11">
        <x:v>0</x:v>
      </x:c>
      <x:c r="N82" s="11">
        <x:v>0</x:v>
      </x:c>
    </x:row>
    <x:row r="83">
      <x:c r="A83" s="5" t="s">
        <x:v>212</x:v>
      </x:c>
      <x:c r="B83" s="5">
        <x:v>76</x:v>
      </x:c>
      <x:c r="C83" s="11">
        <x:v>0</x:v>
      </x:c>
      <x:c r="D83" s="11">
        <x:v>0</x:v>
      </x:c>
      <x:c r="E83" s="11">
        <x:v>1</x:v>
      </x:c>
      <x:c r="F83" s="11">
        <x:v>1</x:v>
      </x:c>
      <x:c r="G83" s="11">
        <x:v>1</x:v>
      </x:c>
      <x:c r="H83" s="11">
        <x:v>1</x:v>
      </x:c>
      <x:c r="I83" s="11">
        <x:v>0</x:v>
      </x:c>
      <x:c r="J83" s="11">
        <x:v>0</x:v>
      </x:c>
      <x:c r="K83" s="11">
        <x:v>0</x:v>
      </x:c>
      <x:c r="L83" s="11">
        <x:v>0</x:v>
      </x:c>
      <x:c r="M83" s="11">
        <x:v>0</x:v>
      </x:c>
      <x:c r="N83" s="11">
        <x:v>0</x:v>
      </x:c>
    </x:row>
    <x:row r="84">
      <x:c r="A84" s="5" t="s">
        <x:v>212</x:v>
      </x:c>
      <x:c r="B84" s="5">
        <x:v>77</x:v>
      </x:c>
      <x:c r="C84" s="11">
        <x:v>1</x:v>
      </x:c>
      <x:c r="D84" s="11">
        <x:v>0</x:v>
      </x:c>
      <x:c r="E84" s="11">
        <x:v>0</x:v>
      </x:c>
      <x:c r="F84" s="11">
        <x:v>0</x:v>
      </x:c>
      <x:c r="G84" s="11">
        <x:v>0</x:v>
      </x:c>
      <x:c r="H84" s="11">
        <x:v>0</x:v>
      </x:c>
      <x:c r="I84" s="11">
        <x:v>0</x:v>
      </x:c>
      <x:c r="J84" s="11">
        <x:v>0</x:v>
      </x:c>
      <x:c r="K84" s="11">
        <x:v>1</x:v>
      </x:c>
      <x:c r="L84" s="11">
        <x:v>0</x:v>
      </x:c>
      <x:c r="M84" s="11">
        <x:v>0</x:v>
      </x:c>
      <x:c r="N84" s="11">
        <x:v>0</x:v>
      </x:c>
    </x:row>
    <x:row r="85">
      <x:c r="A85" s="5" t="s">
        <x:v>212</x:v>
      </x:c>
      <x:c r="B85" s="5">
        <x:v>78</x:v>
      </x:c>
      <x:c r="C85" s="11">
        <x:v>1</x:v>
      </x:c>
      <x:c r="D85" s="11">
        <x:v>0</x:v>
      </x:c>
      <x:c r="E85" s="11">
        <x:v>0</x:v>
      </x:c>
      <x:c r="F85" s="11">
        <x:v>1</x:v>
      </x:c>
      <x:c r="G85" s="11">
        <x:v>0</x:v>
      </x:c>
      <x:c r="H85" s="11">
        <x:v>0</x:v>
      </x:c>
      <x:c r="I85" s="11">
        <x:v>0</x:v>
      </x:c>
      <x:c r="J85" s="11">
        <x:v>0</x:v>
      </x:c>
      <x:c r="K85" s="11">
        <x:v>0</x:v>
      </x:c>
      <x:c r="L85" s="11">
        <x:v>0</x:v>
      </x:c>
      <x:c r="M85" s="11">
        <x:v>0</x:v>
      </x:c>
      <x:c r="N85" s="11">
        <x:v>0</x:v>
      </x:c>
    </x:row>
    <x:row r="86">
      <x:c r="A86" s="5" t="s">
        <x:v>212</x:v>
      </x:c>
      <x:c r="B86" s="5">
        <x:v>79</x:v>
      </x:c>
      <x:c r="C86" s="11">
        <x:v>0</x:v>
      </x:c>
      <x:c r="D86" s="11">
        <x:v>1</x:v>
      </x:c>
      <x:c r="E86" s="11">
        <x:v>1</x:v>
      </x:c>
      <x:c r="F86" s="11">
        <x:v>0</x:v>
      </x:c>
      <x:c r="G86" s="11">
        <x:v>0</x:v>
      </x:c>
      <x:c r="H86" s="11">
        <x:v>0</x:v>
      </x:c>
      <x:c r="I86" s="11">
        <x:v>0</x:v>
      </x:c>
      <x:c r="J86" s="11">
        <x:v>1</x:v>
      </x:c>
      <x:c r="K86" s="11">
        <x:v>0</x:v>
      </x:c>
      <x:c r="L86" s="11">
        <x:v>0</x:v>
      </x:c>
      <x:c r="M86" s="11">
        <x:v>1</x:v>
      </x:c>
      <x:c r="N86" s="11">
        <x:v>0</x:v>
      </x:c>
    </x:row>
    <x:row r="87">
      <x:c r="A87" s="5" t="s">
        <x:v>212</x:v>
      </x:c>
      <x:c r="B87" s="5">
        <x:v>80</x:v>
      </x:c>
      <x:c r="C87" s="11">
        <x:v>1</x:v>
      </x:c>
      <x:c r="D87" s="11">
        <x:v>1</x:v>
      </x:c>
      <x:c r="E87" s="11">
        <x:v>1</x:v>
      </x:c>
      <x:c r="F87" s="11">
        <x:v>1</x:v>
      </x:c>
      <x:c r="G87" s="11">
        <x:v>0</x:v>
      </x:c>
      <x:c r="H87" s="11">
        <x:v>1</x:v>
      </x:c>
      <x:c r="I87" s="11">
        <x:v>1</x:v>
      </x:c>
      <x:c r="J87" s="11">
        <x:v>0</x:v>
      </x:c>
      <x:c r="K87" s="11">
        <x:v>0</x:v>
      </x:c>
      <x:c r="L87" s="11">
        <x:v>0</x:v>
      </x:c>
      <x:c r="M87" s="11">
        <x:v>0</x:v>
      </x:c>
      <x:c r="N87" s="11">
        <x:v>0</x:v>
      </x:c>
    </x:row>
    <x:row r="88">
      <x:c r="A88" s="5" t="s">
        <x:v>212</x:v>
      </x:c>
      <x:c r="B88" s="5">
        <x:v>81</x:v>
      </x:c>
      <x:c r="C88" s="11">
        <x:v>0</x:v>
      </x:c>
      <x:c r="D88" s="11">
        <x:v>0</x:v>
      </x:c>
      <x:c r="E88" s="11">
        <x:v>1</x:v>
      </x:c>
      <x:c r="F88" s="11">
        <x:v>0</x:v>
      </x:c>
      <x:c r="G88" s="11">
        <x:v>1</x:v>
      </x:c>
      <x:c r="H88" s="11">
        <x:v>1</x:v>
      </x:c>
      <x:c r="I88" s="11">
        <x:v>0</x:v>
      </x:c>
      <x:c r="J88" s="11">
        <x:v>0</x:v>
      </x:c>
      <x:c r="K88" s="11">
        <x:v>0</x:v>
      </x:c>
      <x:c r="L88" s="11">
        <x:v>0</x:v>
      </x:c>
      <x:c r="M88" s="11">
        <x:v>0</x:v>
      </x:c>
      <x:c r="N88" s="11">
        <x:v>0</x:v>
      </x:c>
    </x:row>
    <x:row r="89">
      <x:c r="A89" s="5" t="s">
        <x:v>212</x:v>
      </x:c>
      <x:c r="B89" s="5">
        <x:v>93</x:v>
      </x:c>
      <x:c r="C89" s="11">
        <x:v>0</x:v>
      </x:c>
      <x:c r="D89" s="11">
        <x:v>0</x:v>
      </x:c>
      <x:c r="E89" s="11">
        <x:v>0</x:v>
      </x:c>
      <x:c r="F89" s="11">
        <x:v>0</x:v>
      </x:c>
      <x:c r="G89" s="11">
        <x:v>0</x:v>
      </x:c>
      <x:c r="H89" s="11">
        <x:v>0</x:v>
      </x:c>
      <x:c r="I89" s="11">
        <x:v>0</x:v>
      </x:c>
      <x:c r="J89" s="11">
        <x:v>1</x:v>
      </x:c>
      <x:c r="K89" s="11">
        <x:v>0</x:v>
      </x:c>
      <x:c r="L89" s="11">
        <x:v>0</x:v>
      </x:c>
      <x:c r="M89" s="11">
        <x:v>0</x:v>
      </x:c>
      <x:c r="N89" s="11">
        <x:v>0</x:v>
      </x:c>
    </x:row>
    <x:row r="90">
      <x:c r="A90" s="5" t="s">
        <x:v>212</x:v>
      </x:c>
      <x:c r="B90" s="5">
        <x:v>94</x:v>
      </x:c>
      <x:c r="C90" s="11">
        <x:v>0</x:v>
      </x:c>
      <x:c r="D90" s="11">
        <x:v>0</x:v>
      </x:c>
      <x:c r="E90" s="11">
        <x:v>0</x:v>
      </x:c>
      <x:c r="F90" s="11">
        <x:v>0</x:v>
      </x:c>
      <x:c r="G90" s="11">
        <x:v>1</x:v>
      </x:c>
      <x:c r="H90" s="11">
        <x:v>0</x:v>
      </x:c>
      <x:c r="I90" s="11">
        <x:v>0</x:v>
      </x:c>
      <x:c r="J90" s="11">
        <x:v>0</x:v>
      </x:c>
      <x:c r="K90" s="11">
        <x:v>0</x:v>
      </x:c>
      <x:c r="L90" s="11">
        <x:v>0</x:v>
      </x:c>
      <x:c r="M90" s="11">
        <x:v>0</x:v>
      </x:c>
      <x:c r="N90" s="11">
        <x:v>0</x:v>
      </x:c>
    </x:row>
    <x:row r="91">
      <x:c r="A91" s="5" t="s">
        <x:v>212</x:v>
      </x:c>
      <x:c r="B91" s="5">
        <x:v>95</x:v>
      </x:c>
      <x:c r="C91" s="11">
        <x:v>1</x:v>
      </x:c>
      <x:c r="D91" s="11">
        <x:v>0</x:v>
      </x:c>
      <x:c r="E91" s="11">
        <x:v>0</x:v>
      </x:c>
      <x:c r="F91" s="11">
        <x:v>0</x:v>
      </x:c>
      <x:c r="G91" s="11">
        <x:v>0</x:v>
      </x:c>
      <x:c r="H91" s="11">
        <x:v>0</x:v>
      </x:c>
      <x:c r="I91" s="11">
        <x:v>0</x:v>
      </x:c>
      <x:c r="J91" s="11">
        <x:v>0</x:v>
      </x:c>
      <x:c r="K91" s="11">
        <x:v>1</x:v>
      </x:c>
      <x:c r="L91" s="11">
        <x:v>0</x:v>
      </x:c>
      <x:c r="M91" s="11">
        <x:v>0</x:v>
      </x:c>
      <x:c r="N91" s="11">
        <x:v>0</x:v>
      </x:c>
    </x:row>
    <x:row r="92">
      <x:c r="A92" s="5" t="s">
        <x:v>212</x:v>
      </x:c>
      <x:c r="B92" s="5">
        <x:v>96</x:v>
      </x:c>
      <x:c r="C92" s="11">
        <x:v>0</x:v>
      </x:c>
      <x:c r="D92" s="11">
        <x:v>1</x:v>
      </x:c>
      <x:c r="E92" s="11">
        <x:v>0</x:v>
      </x:c>
      <x:c r="F92" s="11">
        <x:v>0</x:v>
      </x:c>
      <x:c r="G92" s="11">
        <x:v>0</x:v>
      </x:c>
      <x:c r="H92" s="11">
        <x:v>0</x:v>
      </x:c>
      <x:c r="I92" s="11">
        <x:v>0</x:v>
      </x:c>
      <x:c r="J92" s="11">
        <x:v>0</x:v>
      </x:c>
      <x:c r="K92" s="11">
        <x:v>0</x:v>
      </x:c>
      <x:c r="L92" s="11">
        <x:v>0</x:v>
      </x:c>
      <x:c r="M92" s="11">
        <x:v>0</x:v>
      </x:c>
      <x:c r="N92" s="11">
        <x:v>0</x:v>
      </x:c>
    </x:row>
    <x:row r="93">
      <x:c r="A93" s="5" t="s">
        <x:v>212</x:v>
      </x:c>
      <x:c r="B93" s="5">
        <x:v>97</x:v>
      </x:c>
      <x:c r="C93" s="11">
        <x:v>0</x:v>
      </x:c>
      <x:c r="D93" s="11">
        <x:v>0</x:v>
      </x:c>
      <x:c r="E93" s="11">
        <x:v>1</x:v>
      </x:c>
      <x:c r="F93" s="11">
        <x:v>0</x:v>
      </x:c>
      <x:c r="G93" s="11">
        <x:v>0</x:v>
      </x:c>
      <x:c r="H93" s="11">
        <x:v>0</x:v>
      </x:c>
      <x:c r="I93" s="11">
        <x:v>0</x:v>
      </x:c>
      <x:c r="J93" s="11">
        <x:v>0</x:v>
      </x:c>
      <x:c r="K93" s="11">
        <x:v>0</x:v>
      </x:c>
      <x:c r="L93" s="11">
        <x:v>0</x:v>
      </x:c>
      <x:c r="M93" s="11">
        <x:v>0</x:v>
      </x:c>
      <x:c r="N93" s="11">
        <x:v>0</x:v>
      </x:c>
    </x:row>
    <x:row r="94">
      <x:c r="A94" s="5" t="s">
        <x:v>212</x:v>
      </x:c>
      <x:c r="B94" s="5">
        <x:v>98</x:v>
      </x:c>
      <x:c r="C94" s="11">
        <x:v>1</x:v>
      </x:c>
      <x:c r="D94" s="11">
        <x:v>1</x:v>
      </x:c>
      <x:c r="E94" s="11">
        <x:v>0</x:v>
      </x:c>
      <x:c r="F94" s="11">
        <x:v>0</x:v>
      </x:c>
      <x:c r="G94" s="11">
        <x:v>1</x:v>
      </x:c>
      <x:c r="H94" s="11">
        <x:v>1</x:v>
      </x:c>
      <x:c r="I94" s="11">
        <x:v>1</x:v>
      </x:c>
      <x:c r="J94" s="11">
        <x:v>0</x:v>
      </x:c>
      <x:c r="K94" s="11">
        <x:v>1</x:v>
      </x:c>
      <x:c r="L94" s="11">
        <x:v>1</x:v>
      </x:c>
      <x:c r="M94" s="11">
        <x:v>0</x:v>
      </x:c>
      <x:c r="N94" s="11">
        <x:v>0</x:v>
      </x:c>
    </x:row>
    <x:row r="95">
      <x:c r="A95" s="5" t="s">
        <x:v>212</x:v>
      </x:c>
      <x:c r="B95" s="5">
        <x:v>99</x:v>
      </x:c>
      <x:c r="C95" s="11">
        <x:v>0</x:v>
      </x:c>
      <x:c r="D95" s="11">
        <x:v>0</x:v>
      </x:c>
      <x:c r="E95" s="11">
        <x:v>1</x:v>
      </x:c>
      <x:c r="F95" s="11">
        <x:v>0</x:v>
      </x:c>
      <x:c r="G95" s="11">
        <x:v>0</x:v>
      </x:c>
      <x:c r="H95" s="11">
        <x:v>0</x:v>
      </x:c>
      <x:c r="I95" s="11">
        <x:v>0</x:v>
      </x:c>
      <x:c r="J95" s="11">
        <x:v>0</x:v>
      </x:c>
      <x:c r="K95" s="11">
        <x:v>0</x:v>
      </x:c>
      <x:c r="L95" s="11">
        <x:v>1</x:v>
      </x:c>
      <x:c r="M95" s="11">
        <x:v>0</x:v>
      </x:c>
      <x:c r="N95" s="11">
        <x:v>0</x:v>
      </x:c>
    </x:row>
    <x:row r="96">
      <x:c r="A96" s="5" t="s">
        <x:v>212</x:v>
      </x:c>
      <x:c r="B96" s="5">
        <x:v>100</x:v>
      </x:c>
      <x:c r="C96" s="11">
        <x:v>0</x:v>
      </x:c>
      <x:c r="D96" s="11">
        <x:v>1</x:v>
      </x:c>
      <x:c r="E96" s="11">
        <x:v>0</x:v>
      </x:c>
      <x:c r="F96" s="11">
        <x:v>0</x:v>
      </x:c>
      <x:c r="G96" s="11">
        <x:v>0</x:v>
      </x:c>
      <x:c r="H96" s="11">
        <x:v>0</x:v>
      </x:c>
      <x:c r="I96" s="11">
        <x:v>0</x:v>
      </x:c>
      <x:c r="J96" s="11">
        <x:v>0</x:v>
      </x:c>
      <x:c r="K96" s="11">
        <x:v>0</x:v>
      </x:c>
      <x:c r="L96" s="11">
        <x:v>0</x:v>
      </x:c>
      <x:c r="M96" s="11">
        <x:v>0</x:v>
      </x:c>
      <x:c r="N96" s="11">
        <x:v>0</x:v>
      </x:c>
    </x:row>
    <x:row r="97">
      <x:c r="A97" s="5" t="s">
        <x:v>212</x:v>
      </x:c>
      <x:c r="B97" s="5">
        <x:v>101</x:v>
      </x:c>
      <x:c r="C97" s="11">
        <x:v>1</x:v>
      </x:c>
      <x:c r="D97" s="11">
        <x:v>0</x:v>
      </x:c>
      <x:c r="E97" s="11">
        <x:v>0</x:v>
      </x:c>
      <x:c r="F97" s="11">
        <x:v>1</x:v>
      </x:c>
      <x:c r="G97" s="11">
        <x:v>1</x:v>
      </x:c>
      <x:c r="H97" s="11">
        <x:v>0</x:v>
      </x:c>
      <x:c r="I97" s="11">
        <x:v>0</x:v>
      </x:c>
      <x:c r="J97" s="11">
        <x:v>0</x:v>
      </x:c>
      <x:c r="K97" s="11">
        <x:v>0</x:v>
      </x:c>
      <x:c r="L97" s="11">
        <x:v>0</x:v>
      </x:c>
      <x:c r="M97" s="11">
        <x:v>0</x:v>
      </x:c>
      <x:c r="N97" s="11">
        <x:v>0</x:v>
      </x:c>
    </x:row>
    <x:row r="98">
      <x:c r="A98" s="5" t="s">
        <x:v>212</x:v>
      </x:c>
      <x:c r="B98" s="5">
        <x:v>102</x:v>
      </x:c>
      <x:c r="C98" s="11">
        <x:v>1</x:v>
      </x:c>
      <x:c r="D98" s="11">
        <x:v>1</x:v>
      </x:c>
      <x:c r="E98" s="11">
        <x:v>0</x:v>
      </x:c>
      <x:c r="F98" s="11">
        <x:v>0</x:v>
      </x:c>
      <x:c r="G98" s="11">
        <x:v>0</x:v>
      </x:c>
      <x:c r="H98" s="11">
        <x:v>0</x:v>
      </x:c>
      <x:c r="I98" s="11">
        <x:v>0</x:v>
      </x:c>
      <x:c r="J98" s="11">
        <x:v>0</x:v>
      </x:c>
      <x:c r="K98" s="11">
        <x:v>1</x:v>
      </x:c>
      <x:c r="L98" s="11">
        <x:v>0</x:v>
      </x:c>
      <x:c r="M98" s="11">
        <x:v>0</x:v>
      </x:c>
      <x:c r="N98" s="11">
        <x:v>0</x:v>
      </x:c>
    </x:row>
    <x:row r="99">
      <x:c r="A99" s="5" t="s">
        <x:v>212</x:v>
      </x:c>
      <x:c r="B99" s="5">
        <x:v>103</x:v>
      </x:c>
      <x:c r="C99" s="11">
        <x:v>0</x:v>
      </x:c>
      <x:c r="D99" s="11">
        <x:v>0</x:v>
      </x:c>
      <x:c r="E99" s="11">
        <x:v>0</x:v>
      </x:c>
      <x:c r="F99" s="11">
        <x:v>0</x:v>
      </x:c>
      <x:c r="G99" s="11">
        <x:v>0</x:v>
      </x:c>
      <x:c r="H99" s="11">
        <x:v>0</x:v>
      </x:c>
      <x:c r="I99" s="11">
        <x:v>1</x:v>
      </x:c>
      <x:c r="J99" s="11">
        <x:v>0</x:v>
      </x:c>
      <x:c r="K99" s="11">
        <x:v>0</x:v>
      </x:c>
      <x:c r="L99" s="11">
        <x:v>0</x:v>
      </x:c>
      <x:c r="M99" s="11">
        <x:v>0</x:v>
      </x:c>
      <x:c r="N99" s="11">
        <x:v>0</x:v>
      </x:c>
    </x:row>
    <x:row r="100">
      <x:c r="A100" s="5" t="s">
        <x:v>212</x:v>
      </x:c>
      <x:c r="B100" s="5">
        <x:v>104</x:v>
      </x:c>
      <x:c r="C100" s="11">
        <x:v>0</x:v>
      </x:c>
      <x:c r="D100" s="11">
        <x:v>1</x:v>
      </x:c>
      <x:c r="E100" s="11">
        <x:v>0</x:v>
      </x:c>
      <x:c r="F100" s="11">
        <x:v>0</x:v>
      </x:c>
      <x:c r="G100" s="11">
        <x:v>0</x:v>
      </x:c>
      <x:c r="H100" s="11">
        <x:v>0</x:v>
      </x:c>
      <x:c r="I100" s="11">
        <x:v>0</x:v>
      </x:c>
      <x:c r="J100" s="11">
        <x:v>0</x:v>
      </x:c>
      <x:c r="K100" s="11">
        <x:v>0</x:v>
      </x:c>
      <x:c r="L100" s="11">
        <x:v>0</x:v>
      </x:c>
      <x:c r="M100" s="11">
        <x:v>0</x:v>
      </x:c>
      <x:c r="N100" s="11">
        <x:v>0</x:v>
      </x:c>
    </x:row>
    <x:row r="101">
      <x:c r="A101" s="5" t="s">
        <x:v>212</x:v>
      </x:c>
      <x:c r="B101" s="5">
        <x:v>105</x:v>
      </x:c>
      <x:c r="C101" s="11">
        <x:v>1</x:v>
      </x:c>
      <x:c r="D101" s="11">
        <x:v>1</x:v>
      </x:c>
      <x:c r="E101" s="11">
        <x:v>0</x:v>
      </x:c>
      <x:c r="F101" s="11">
        <x:v>1</x:v>
      </x:c>
      <x:c r="G101" s="11">
        <x:v>1</x:v>
      </x:c>
      <x:c r="H101" s="11">
        <x:v>0</x:v>
      </x:c>
      <x:c r="I101" s="11">
        <x:v>0</x:v>
      </x:c>
      <x:c r="J101" s="11">
        <x:v>0</x:v>
      </x:c>
      <x:c r="K101" s="11">
        <x:v>0</x:v>
      </x:c>
      <x:c r="L101" s="11">
        <x:v>0</x:v>
      </x:c>
      <x:c r="M101" s="11">
        <x:v>0</x:v>
      </x:c>
      <x:c r="N101" s="11">
        <x:v>0</x:v>
      </x:c>
    </x:row>
    <x:row r="102">
      <x:c r="A102" s="6" t="s">
        <x:v>212</x:v>
      </x:c>
      <x:c r="B102" s="6">
        <x:v>106</x:v>
      </x:c>
      <x:c r="C102" s="12">
        <x:v>0</x:v>
      </x:c>
      <x:c r="D102" s="12">
        <x:v>0</x:v>
      </x:c>
      <x:c r="E102" s="12">
        <x:v>0</x:v>
      </x:c>
      <x:c r="F102" s="12">
        <x:v>0</x:v>
      </x:c>
      <x:c r="G102" s="12">
        <x:v>0</x:v>
      </x:c>
      <x:c r="H102" s="12">
        <x:v>1</x:v>
      </x:c>
      <x:c r="I102" s="12">
        <x:v>0</x:v>
      </x:c>
      <x:c r="J102" s="12">
        <x:v>0</x:v>
      </x:c>
      <x:c r="K102" s="12">
        <x:v>0</x:v>
      </x:c>
      <x:c r="L102" s="12">
        <x:v>0</x:v>
      </x:c>
      <x:c r="M102" s="12">
        <x:v>0</x:v>
      </x:c>
      <x:c r="N102" s="12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1" customWidth="1"/>
    <x:col min="2" max="2" width="12" customWidth="1"/>
    <x:col min="3" max="3" width="4" customWidth="1"/>
    <x:col min="4" max="4" width="43" customWidth="1"/>
    <x:col min="5" max="5" width="12" customWidth="1"/>
  </x:cols>
  <x:sheetData>
    <x:row r="1" ht="36" customHeight="1">
      <x:c r="A1" s="52" t="s">
        <x:v>729</x:v>
      </x:c>
      <x:c r="B1" s="52"/>
      <x:c r="C1" s="52"/>
      <x:c r="D1" s="52"/>
      <x:c r="E1" s="52"/>
    </x:row>
    <x:row r="2" ht="36" customHeight="1">
      <x:c r="A2" s="53" t="s">
        <x:v>730</x:v>
      </x:c>
      <x:c r="B2" s="53"/>
      <x:c r="C2" s="53"/>
      <x:c r="D2" s="53"/>
      <x:c r="E2" s="53"/>
    </x:row>
    <x:row r="4" ht="30" customHeight="1">
      <x:c r="A4" s="1" t="s">
        <x:v>731</x:v>
      </x:c>
      <x:c r="B4" s="3" t="s">
        <x:v>7</x:v>
      </x:c>
      <x:c r="D4" s="1" t="s">
        <x:v>732</x:v>
      </x:c>
      <x:c r="E4" s="3" t="s">
        <x:v>7</x:v>
      </x:c>
    </x:row>
    <x:row r="5">
      <x:c r="A5" s="4" t="s">
        <x:v>733</x:v>
      </x:c>
      <x:c r="B5" s="4">
        <x:v>12</x:v>
      </x:c>
      <x:c r="C5" s="4"/>
      <x:c r="D5" s="4" t="s">
        <x:v>734</x:v>
      </x:c>
      <x:c r="E5" s="4">
        <x:v>30</x:v>
      </x:c>
    </x:row>
    <x:row r="6">
      <x:c r="A6" s="5" t="s">
        <x:v>735</x:v>
      </x:c>
      <x:c r="B6" s="5">
        <x:v>7</x:v>
      </x:c>
      <x:c r="C6" s="5"/>
      <x:c r="D6" s="5" t="s">
        <x:v>736</x:v>
      </x:c>
      <x:c r="E6" s="5">
        <x:v>28</x:v>
      </x:c>
    </x:row>
    <x:row r="7">
      <x:c r="A7" s="5" t="s">
        <x:v>737</x:v>
      </x:c>
      <x:c r="B7" s="5">
        <x:v>7</x:v>
      </x:c>
      <x:c r="C7" s="5"/>
      <x:c r="D7" s="5" t="s">
        <x:v>738</x:v>
      </x:c>
      <x:c r="E7" s="5">
        <x:v>24</x:v>
      </x:c>
    </x:row>
    <x:row r="8">
      <x:c r="A8" s="5" t="s">
        <x:v>739</x:v>
      </x:c>
      <x:c r="B8" s="5">
        <x:v>6</x:v>
      </x:c>
      <x:c r="C8" s="5"/>
      <x:c r="D8" s="5" t="s">
        <x:v>740</x:v>
      </x:c>
      <x:c r="E8" s="5">
        <x:v>24</x:v>
      </x:c>
    </x:row>
    <x:row r="9">
      <x:c r="A9" s="5" t="s">
        <x:v>741</x:v>
      </x:c>
      <x:c r="B9" s="5">
        <x:v>5</x:v>
      </x:c>
      <x:c r="C9" s="5"/>
      <x:c r="D9" s="5" t="s">
        <x:v>742</x:v>
      </x:c>
      <x:c r="E9" s="5">
        <x:v>24</x:v>
      </x:c>
    </x:row>
    <x:row r="10">
      <x:c r="A10" s="5" t="s">
        <x:v>743</x:v>
      </x:c>
      <x:c r="B10" s="5">
        <x:v>5</x:v>
      </x:c>
      <x:c r="C10" s="5"/>
      <x:c r="D10" s="5" t="s">
        <x:v>744</x:v>
      </x:c>
      <x:c r="E10" s="5">
        <x:v>24</x:v>
      </x:c>
    </x:row>
    <x:row r="11">
      <x:c r="A11" s="5" t="s">
        <x:v>745</x:v>
      </x:c>
      <x:c r="B11" s="5">
        <x:v>5</x:v>
      </x:c>
      <x:c r="C11" s="5"/>
      <x:c r="D11" s="5" t="s">
        <x:v>746</x:v>
      </x:c>
      <x:c r="E11" s="5">
        <x:v>23</x:v>
      </x:c>
    </x:row>
    <x:row r="12">
      <x:c r="A12" s="5" t="s">
        <x:v>747</x:v>
      </x:c>
      <x:c r="B12" s="5">
        <x:v>5</x:v>
      </x:c>
      <x:c r="C12" s="5"/>
      <x:c r="D12" s="5" t="s">
        <x:v>748</x:v>
      </x:c>
      <x:c r="E12" s="5">
        <x:v>23</x:v>
      </x:c>
    </x:row>
    <x:row r="13">
      <x:c r="A13" s="5" t="s">
        <x:v>749</x:v>
      </x:c>
      <x:c r="B13" s="5">
        <x:v>4</x:v>
      </x:c>
      <x:c r="C13" s="5"/>
      <x:c r="D13" s="5" t="s">
        <x:v>750</x:v>
      </x:c>
      <x:c r="E13" s="5">
        <x:v>23</x:v>
      </x:c>
    </x:row>
    <x:row r="14">
      <x:c r="A14" s="5" t="s">
        <x:v>751</x:v>
      </x:c>
      <x:c r="B14" s="5">
        <x:v>4</x:v>
      </x:c>
      <x:c r="C14" s="5"/>
      <x:c r="D14" s="5" t="s">
        <x:v>752</x:v>
      </x:c>
      <x:c r="E14" s="5">
        <x:v>23</x:v>
      </x:c>
    </x:row>
    <x:row r="15">
      <x:c r="A15" s="5" t="s">
        <x:v>753</x:v>
      </x:c>
      <x:c r="B15" s="5">
        <x:v>4</x:v>
      </x:c>
      <x:c r="C15" s="5"/>
      <x:c r="D15" s="5" t="s">
        <x:v>754</x:v>
      </x:c>
      <x:c r="E15" s="5">
        <x:v>23</x:v>
      </x:c>
    </x:row>
    <x:row r="16">
      <x:c r="A16" s="5" t="s">
        <x:v>755</x:v>
      </x:c>
      <x:c r="B16" s="5">
        <x:v>4</x:v>
      </x:c>
      <x:c r="C16" s="5"/>
      <x:c r="D16" s="5" t="s">
        <x:v>756</x:v>
      </x:c>
      <x:c r="E16" s="5">
        <x:v>23</x:v>
      </x:c>
    </x:row>
    <x:row r="17">
      <x:c r="A17" s="5" t="s">
        <x:v>757</x:v>
      </x:c>
      <x:c r="B17" s="5">
        <x:v>4</x:v>
      </x:c>
      <x:c r="C17" s="5"/>
      <x:c r="D17" s="5" t="s">
        <x:v>758</x:v>
      </x:c>
      <x:c r="E17" s="5">
        <x:v>22</x:v>
      </x:c>
    </x:row>
    <x:row r="18">
      <x:c r="A18" s="5" t="s">
        <x:v>759</x:v>
      </x:c>
      <x:c r="B18" s="5">
        <x:v>4</x:v>
      </x:c>
      <x:c r="C18" s="5"/>
      <x:c r="D18" s="5" t="s">
        <x:v>760</x:v>
      </x:c>
      <x:c r="E18" s="5">
        <x:v>22</x:v>
      </x:c>
    </x:row>
    <x:row r="19">
      <x:c r="A19" s="5" t="s">
        <x:v>761</x:v>
      </x:c>
      <x:c r="B19" s="5">
        <x:v>4</x:v>
      </x:c>
      <x:c r="C19" s="5"/>
      <x:c r="D19" s="5" t="s">
        <x:v>762</x:v>
      </x:c>
      <x:c r="E19" s="5">
        <x:v>22</x:v>
      </x:c>
    </x:row>
    <x:row r="20">
      <x:c r="A20" s="5" t="s">
        <x:v>763</x:v>
      </x:c>
      <x:c r="B20" s="5">
        <x:v>4</x:v>
      </x:c>
      <x:c r="C20" s="5"/>
      <x:c r="D20" s="5" t="s">
        <x:v>743</x:v>
      </x:c>
      <x:c r="E20" s="5">
        <x:v>20</x:v>
      </x:c>
    </x:row>
    <x:row r="21">
      <x:c r="A21" s="5" t="s">
        <x:v>764</x:v>
      </x:c>
      <x:c r="B21" s="5">
        <x:v>4</x:v>
      </x:c>
      <x:c r="C21" s="5"/>
      <x:c r="D21" s="5" t="s">
        <x:v>765</x:v>
      </x:c>
      <x:c r="E21" s="5">
        <x:v>20</x:v>
      </x:c>
    </x:row>
    <x:row r="22">
      <x:c r="A22" s="5" t="s">
        <x:v>766</x:v>
      </x:c>
      <x:c r="B22" s="5">
        <x:v>4</x:v>
      </x:c>
      <x:c r="C22" s="5"/>
      <x:c r="D22" s="5" t="s">
        <x:v>767</x:v>
      </x:c>
      <x:c r="E22" s="5">
        <x:v>20</x:v>
      </x:c>
    </x:row>
    <x:row r="23">
      <x:c r="A23" s="5" t="s">
        <x:v>768</x:v>
      </x:c>
      <x:c r="B23" s="5">
        <x:v>4</x:v>
      </x:c>
      <x:c r="C23" s="5"/>
      <x:c r="D23" s="5" t="s">
        <x:v>769</x:v>
      </x:c>
      <x:c r="E23" s="5">
        <x:v>20</x:v>
      </x:c>
    </x:row>
    <x:row r="24">
      <x:c r="A24" s="5" t="s">
        <x:v>770</x:v>
      </x:c>
      <x:c r="B24" s="5">
        <x:v>4</x:v>
      </x:c>
      <x:c r="C24" s="5"/>
      <x:c r="D24" s="5" t="s">
        <x:v>771</x:v>
      </x:c>
      <x:c r="E24" s="5">
        <x:v>18</x:v>
      </x:c>
    </x:row>
    <x:row r="25">
      <x:c r="A25" s="5" t="s">
        <x:v>772</x:v>
      </x:c>
      <x:c r="B25" s="5">
        <x:v>3</x:v>
      </x:c>
      <x:c r="C25" s="5"/>
      <x:c r="D25" s="5" t="s">
        <x:v>773</x:v>
      </x:c>
      <x:c r="E25" s="5">
        <x:v>17</x:v>
      </x:c>
    </x:row>
    <x:row r="26">
      <x:c r="A26" s="5" t="s">
        <x:v>774</x:v>
      </x:c>
      <x:c r="B26" s="5">
        <x:v>3</x:v>
      </x:c>
      <x:c r="C26" s="5"/>
      <x:c r="D26" s="5" t="s">
        <x:v>775</x:v>
      </x:c>
      <x:c r="E26" s="5">
        <x:v>16</x:v>
      </x:c>
    </x:row>
    <x:row r="27">
      <x:c r="A27" s="5" t="s">
        <x:v>776</x:v>
      </x:c>
      <x:c r="B27" s="5">
        <x:v>3</x:v>
      </x:c>
      <x:c r="C27" s="5"/>
      <x:c r="D27" s="5" t="s">
        <x:v>739</x:v>
      </x:c>
      <x:c r="E27" s="5">
        <x:v>15</x:v>
      </x:c>
    </x:row>
    <x:row r="28">
      <x:c r="A28" s="5" t="s">
        <x:v>777</x:v>
      </x:c>
      <x:c r="B28" s="5">
        <x:v>3</x:v>
      </x:c>
      <x:c r="C28" s="5"/>
      <x:c r="D28" s="5" t="s">
        <x:v>778</x:v>
      </x:c>
      <x:c r="E28" s="5">
        <x:v>15</x:v>
      </x:c>
    </x:row>
    <x:row r="29">
      <x:c r="A29" s="5" t="s">
        <x:v>779</x:v>
      </x:c>
      <x:c r="B29" s="5">
        <x:v>3</x:v>
      </x:c>
      <x:c r="C29" s="5"/>
      <x:c r="D29" s="5" t="s">
        <x:v>764</x:v>
      </x:c>
      <x:c r="E29" s="5">
        <x:v>14</x:v>
      </x:c>
    </x:row>
    <x:row r="30">
      <x:c r="A30" s="5" t="s">
        <x:v>780</x:v>
      </x:c>
      <x:c r="B30" s="5">
        <x:v>3</x:v>
      </x:c>
      <x:c r="C30" s="5"/>
      <x:c r="D30" s="5" t="s">
        <x:v>747</x:v>
      </x:c>
      <x:c r="E30" s="5">
        <x:v>14</x:v>
      </x:c>
    </x:row>
    <x:row r="31">
      <x:c r="A31" s="5" t="s">
        <x:v>781</x:v>
      </x:c>
      <x:c r="B31" s="5">
        <x:v>3</x:v>
      </x:c>
      <x:c r="C31" s="5"/>
      <x:c r="D31" s="5" t="s">
        <x:v>768</x:v>
      </x:c>
      <x:c r="E31" s="5">
        <x:v>13</x:v>
      </x:c>
    </x:row>
    <x:row r="32">
      <x:c r="A32" s="5" t="s">
        <x:v>782</x:v>
      </x:c>
      <x:c r="B32" s="5">
        <x:v>3</x:v>
      </x:c>
      <x:c r="C32" s="5"/>
      <x:c r="D32" s="5" t="s">
        <x:v>783</x:v>
      </x:c>
      <x:c r="E32" s="5">
        <x:v>12</x:v>
      </x:c>
    </x:row>
    <x:row r="33">
      <x:c r="A33" s="5" t="s">
        <x:v>784</x:v>
      </x:c>
      <x:c r="B33" s="5">
        <x:v>3</x:v>
      </x:c>
      <x:c r="C33" s="5"/>
      <x:c r="D33" s="5" t="s">
        <x:v>735</x:v>
      </x:c>
      <x:c r="E33" s="5">
        <x:v>12</x:v>
      </x:c>
    </x:row>
    <x:row r="34">
      <x:c r="A34" s="5" t="s">
        <x:v>785</x:v>
      </x:c>
      <x:c r="B34" s="5">
        <x:v>3</x:v>
      </x:c>
      <x:c r="C34" s="5"/>
      <x:c r="D34" s="5" t="s">
        <x:v>786</x:v>
      </x:c>
      <x:c r="E34" s="5">
        <x:v>12</x:v>
      </x:c>
    </x:row>
    <x:row r="35">
      <x:c r="A35" s="5" t="s">
        <x:v>787</x:v>
      </x:c>
      <x:c r="B35" s="5">
        <x:v>3</x:v>
      </x:c>
      <x:c r="C35" s="5"/>
      <x:c r="D35" s="5" t="s">
        <x:v>788</x:v>
      </x:c>
      <x:c r="E35" s="5">
        <x:v>12</x:v>
      </x:c>
    </x:row>
    <x:row r="36">
      <x:c r="A36" s="5" t="s">
        <x:v>789</x:v>
      </x:c>
      <x:c r="B36" s="5">
        <x:v>3</x:v>
      </x:c>
      <x:c r="C36" s="5"/>
      <x:c r="D36" s="5" t="s">
        <x:v>790</x:v>
      </x:c>
      <x:c r="E36" s="5">
        <x:v>12</x:v>
      </x:c>
    </x:row>
    <x:row r="37">
      <x:c r="A37" s="5" t="s">
        <x:v>786</x:v>
      </x:c>
      <x:c r="B37" s="5">
        <x:v>3</x:v>
      </x:c>
      <x:c r="C37" s="5"/>
      <x:c r="D37" s="5" t="s">
        <x:v>791</x:v>
      </x:c>
      <x:c r="E37" s="5">
        <x:v>12</x:v>
      </x:c>
    </x:row>
    <x:row r="38">
      <x:c r="A38" s="5" t="s">
        <x:v>792</x:v>
      </x:c>
      <x:c r="B38" s="5">
        <x:v>3</x:v>
      </x:c>
      <x:c r="C38" s="5"/>
      <x:c r="D38" s="5" t="s">
        <x:v>733</x:v>
      </x:c>
      <x:c r="E38" s="5">
        <x:v>12</x:v>
      </x:c>
    </x:row>
    <x:row r="39">
      <x:c r="A39" s="5" t="s">
        <x:v>793</x:v>
      </x:c>
      <x:c r="B39" s="5">
        <x:v>3</x:v>
      </x:c>
      <x:c r="C39" s="5"/>
      <x:c r="D39" s="5" t="s">
        <x:v>794</x:v>
      </x:c>
      <x:c r="E39" s="5">
        <x:v>11</x:v>
      </x:c>
    </x:row>
    <x:row r="40">
      <x:c r="A40" s="5" t="s">
        <x:v>795</x:v>
      </x:c>
      <x:c r="B40" s="5">
        <x:v>3</x:v>
      </x:c>
      <x:c r="C40" s="5"/>
      <x:c r="D40" s="5" t="s">
        <x:v>796</x:v>
      </x:c>
      <x:c r="E40" s="5">
        <x:v>11</x:v>
      </x:c>
    </x:row>
    <x:row r="41">
      <x:c r="A41" s="5" t="s">
        <x:v>797</x:v>
      </x:c>
      <x:c r="B41" s="5">
        <x:v>3</x:v>
      </x:c>
      <x:c r="C41" s="5"/>
      <x:c r="D41" s="5" t="s">
        <x:v>798</x:v>
      </x:c>
      <x:c r="E41" s="5">
        <x:v>11</x:v>
      </x:c>
    </x:row>
    <x:row r="42">
      <x:c r="A42" s="5" t="s">
        <x:v>799</x:v>
      </x:c>
      <x:c r="B42" s="5">
        <x:v>2</x:v>
      </x:c>
      <x:c r="C42" s="5"/>
      <x:c r="D42" s="5" t="s">
        <x:v>800</x:v>
      </x:c>
      <x:c r="E42" s="5">
        <x:v>11</x:v>
      </x:c>
    </x:row>
    <x:row r="43">
      <x:c r="A43" s="5" t="s">
        <x:v>801</x:v>
      </x:c>
      <x:c r="B43" s="5">
        <x:v>2</x:v>
      </x:c>
      <x:c r="C43" s="5"/>
      <x:c r="D43" s="5" t="s">
        <x:v>802</x:v>
      </x:c>
      <x:c r="E43" s="5">
        <x:v>11</x:v>
      </x:c>
    </x:row>
    <x:row r="44">
      <x:c r="A44" s="5" t="s">
        <x:v>803</x:v>
      </x:c>
      <x:c r="B44" s="5">
        <x:v>2</x:v>
      </x:c>
      <x:c r="C44" s="5"/>
      <x:c r="D44" s="5" t="s">
        <x:v>804</x:v>
      </x:c>
      <x:c r="E44" s="5">
        <x:v>11</x:v>
      </x:c>
    </x:row>
    <x:row r="45">
      <x:c r="A45" s="5" t="s">
        <x:v>805</x:v>
      </x:c>
      <x:c r="B45" s="5">
        <x:v>2</x:v>
      </x:c>
      <x:c r="C45" s="5"/>
      <x:c r="D45" s="5" t="s">
        <x:v>806</x:v>
      </x:c>
      <x:c r="E45" s="5">
        <x:v>11</x:v>
      </x:c>
    </x:row>
    <x:row r="46">
      <x:c r="A46" s="5" t="s">
        <x:v>807</x:v>
      </x:c>
      <x:c r="B46" s="5">
        <x:v>2</x:v>
      </x:c>
      <x:c r="C46" s="5"/>
      <x:c r="D46" s="5" t="s">
        <x:v>808</x:v>
      </x:c>
      <x:c r="E46" s="5">
        <x:v>10</x:v>
      </x:c>
    </x:row>
    <x:row r="47">
      <x:c r="A47" s="5" t="s">
        <x:v>809</x:v>
      </x:c>
      <x:c r="B47" s="5">
        <x:v>2</x:v>
      </x:c>
      <x:c r="C47" s="5"/>
      <x:c r="D47" s="5" t="s">
        <x:v>810</x:v>
      </x:c>
      <x:c r="E47" s="5">
        <x:v>10</x:v>
      </x:c>
    </x:row>
    <x:row r="48">
      <x:c r="A48" s="5" t="s">
        <x:v>811</x:v>
      </x:c>
      <x:c r="B48" s="5">
        <x:v>2</x:v>
      </x:c>
      <x:c r="C48" s="5"/>
      <x:c r="D48" s="5" t="s">
        <x:v>812</x:v>
      </x:c>
      <x:c r="E48" s="5">
        <x:v>10</x:v>
      </x:c>
    </x:row>
    <x:row r="49">
      <x:c r="A49" s="5" t="s">
        <x:v>813</x:v>
      </x:c>
      <x:c r="B49" s="5">
        <x:v>2</x:v>
      </x:c>
      <x:c r="C49" s="5"/>
      <x:c r="D49" s="5" t="s">
        <x:v>814</x:v>
      </x:c>
      <x:c r="E49" s="5">
        <x:v>10</x:v>
      </x:c>
    </x:row>
    <x:row r="50">
      <x:c r="A50" s="5" t="s">
        <x:v>815</x:v>
      </x:c>
      <x:c r="B50" s="5">
        <x:v>2</x:v>
      </x:c>
      <x:c r="C50" s="5"/>
      <x:c r="D50" s="5" t="s">
        <x:v>741</x:v>
      </x:c>
      <x:c r="E50" s="5">
        <x:v>10</x:v>
      </x:c>
    </x:row>
    <x:row r="51">
      <x:c r="A51" s="5" t="s">
        <x:v>816</x:v>
      </x:c>
      <x:c r="B51" s="5">
        <x:v>2</x:v>
      </x:c>
      <x:c r="C51" s="5"/>
      <x:c r="D51" s="5" t="s">
        <x:v>817</x:v>
      </x:c>
      <x:c r="E51" s="5">
        <x:v>9</x:v>
      </x:c>
    </x:row>
    <x:row r="52">
      <x:c r="A52" s="5" t="s">
        <x:v>818</x:v>
      </x:c>
      <x:c r="B52" s="5">
        <x:v>2</x:v>
      </x:c>
      <x:c r="C52" s="5"/>
      <x:c r="D52" s="5" t="s">
        <x:v>819</x:v>
      </x:c>
      <x:c r="E52" s="5">
        <x:v>9</x:v>
      </x:c>
    </x:row>
    <x:row r="53">
      <x:c r="A53" s="5" t="s">
        <x:v>820</x:v>
      </x:c>
      <x:c r="B53" s="5">
        <x:v>2</x:v>
      </x:c>
      <x:c r="C53" s="5"/>
      <x:c r="D53" s="5" t="s">
        <x:v>821</x:v>
      </x:c>
      <x:c r="E53" s="5">
        <x:v>9</x:v>
      </x:c>
    </x:row>
    <x:row r="54">
      <x:c r="A54" s="5" t="s">
        <x:v>822</x:v>
      </x:c>
      <x:c r="B54" s="5">
        <x:v>2</x:v>
      </x:c>
      <x:c r="C54" s="5"/>
      <x:c r="D54" s="5" t="s">
        <x:v>823</x:v>
      </x:c>
      <x:c r="E54" s="5">
        <x:v>9</x:v>
      </x:c>
    </x:row>
    <x:row r="55">
      <x:c r="A55" s="5" t="s">
        <x:v>824</x:v>
      </x:c>
      <x:c r="B55" s="5">
        <x:v>2</x:v>
      </x:c>
      <x:c r="C55" s="5"/>
      <x:c r="D55" s="5" t="s">
        <x:v>825</x:v>
      </x:c>
      <x:c r="E55" s="5">
        <x:v>9</x:v>
      </x:c>
    </x:row>
    <x:row r="56">
      <x:c r="A56" s="5" t="s">
        <x:v>826</x:v>
      </x:c>
      <x:c r="B56" s="5">
        <x:v>2</x:v>
      </x:c>
      <x:c r="C56" s="5"/>
      <x:c r="D56" s="5" t="s">
        <x:v>827</x:v>
      </x:c>
      <x:c r="E56" s="5">
        <x:v>9</x:v>
      </x:c>
    </x:row>
    <x:row r="57">
      <x:c r="A57" s="5" t="s">
        <x:v>828</x:v>
      </x:c>
      <x:c r="B57" s="5">
        <x:v>2</x:v>
      </x:c>
      <x:c r="C57" s="5"/>
      <x:c r="D57" s="5" t="s">
        <x:v>829</x:v>
      </x:c>
      <x:c r="E57" s="5">
        <x:v>9</x:v>
      </x:c>
    </x:row>
    <x:row r="58">
      <x:c r="A58" s="5" t="s">
        <x:v>830</x:v>
      </x:c>
      <x:c r="B58" s="5">
        <x:v>2</x:v>
      </x:c>
      <x:c r="C58" s="5"/>
      <x:c r="D58" s="5" t="s">
        <x:v>831</x:v>
      </x:c>
      <x:c r="E58" s="5">
        <x:v>9</x:v>
      </x:c>
    </x:row>
    <x:row r="59">
      <x:c r="A59" s="5" t="s">
        <x:v>832</x:v>
      </x:c>
      <x:c r="B59" s="5">
        <x:v>2</x:v>
      </x:c>
      <x:c r="C59" s="5"/>
      <x:c r="D59" s="5" t="s">
        <x:v>753</x:v>
      </x:c>
      <x:c r="E59" s="5">
        <x:v>8</x:v>
      </x:c>
    </x:row>
    <x:row r="60">
      <x:c r="A60" s="5" t="s">
        <x:v>833</x:v>
      </x:c>
      <x:c r="B60" s="5">
        <x:v>2</x:v>
      </x:c>
      <x:c r="C60" s="5"/>
      <x:c r="D60" s="5" t="s">
        <x:v>813</x:v>
      </x:c>
      <x:c r="E60" s="5">
        <x:v>8</x:v>
      </x:c>
    </x:row>
    <x:row r="61">
      <x:c r="A61" s="5" t="s">
        <x:v>834</x:v>
      </x:c>
      <x:c r="B61" s="5">
        <x:v>2</x:v>
      </x:c>
      <x:c r="C61" s="5"/>
      <x:c r="D61" s="5" t="s">
        <x:v>835</x:v>
      </x:c>
      <x:c r="E61" s="5">
        <x:v>8</x:v>
      </x:c>
    </x:row>
    <x:row r="62">
      <x:c r="A62" s="5" t="s">
        <x:v>836</x:v>
      </x:c>
      <x:c r="B62" s="5">
        <x:v>2</x:v>
      </x:c>
      <x:c r="C62" s="5"/>
      <x:c r="D62" s="5" t="s">
        <x:v>837</x:v>
      </x:c>
      <x:c r="E62" s="5">
        <x:v>8</x:v>
      </x:c>
    </x:row>
    <x:row r="63">
      <x:c r="A63" s="5" t="s">
        <x:v>838</x:v>
      </x:c>
      <x:c r="B63" s="5">
        <x:v>2</x:v>
      </x:c>
      <x:c r="C63" s="5"/>
      <x:c r="D63" s="5" t="s">
        <x:v>839</x:v>
      </x:c>
      <x:c r="E63" s="5">
        <x:v>8</x:v>
      </x:c>
    </x:row>
    <x:row r="64">
      <x:c r="A64" s="5" t="s">
        <x:v>840</x:v>
      </x:c>
      <x:c r="B64" s="5">
        <x:v>2</x:v>
      </x:c>
      <x:c r="C64" s="5"/>
      <x:c r="D64" s="5" t="s">
        <x:v>737</x:v>
      </x:c>
      <x:c r="E64" s="5">
        <x:v>8</x:v>
      </x:c>
    </x:row>
    <x:row r="65">
      <x:c r="A65" s="5" t="s">
        <x:v>841</x:v>
      </x:c>
      <x:c r="B65" s="5">
        <x:v>2</x:v>
      </x:c>
      <x:c r="C65" s="5"/>
      <x:c r="D65" s="5" t="s">
        <x:v>745</x:v>
      </x:c>
      <x:c r="E65" s="5">
        <x:v>8</x:v>
      </x:c>
    </x:row>
    <x:row r="66">
      <x:c r="A66" s="5" t="s">
        <x:v>842</x:v>
      </x:c>
      <x:c r="B66" s="5">
        <x:v>2</x:v>
      </x:c>
      <x:c r="C66" s="5"/>
      <x:c r="D66" s="5" t="s">
        <x:v>843</x:v>
      </x:c>
      <x:c r="E66" s="5">
        <x:v>8</x:v>
      </x:c>
    </x:row>
    <x:row r="67">
      <x:c r="A67" s="5" t="s">
        <x:v>844</x:v>
      </x:c>
      <x:c r="B67" s="5">
        <x:v>2</x:v>
      </x:c>
      <x:c r="C67" s="5"/>
      <x:c r="D67" s="5" t="s">
        <x:v>845</x:v>
      </x:c>
      <x:c r="E67" s="5">
        <x:v>8</x:v>
      </x:c>
    </x:row>
    <x:row r="68">
      <x:c r="A68" s="5" t="s">
        <x:v>846</x:v>
      </x:c>
      <x:c r="B68" s="5">
        <x:v>2</x:v>
      </x:c>
      <x:c r="C68" s="5"/>
      <x:c r="D68" s="5" t="s">
        <x:v>847</x:v>
      </x:c>
      <x:c r="E68" s="5">
        <x:v>8</x:v>
      </x:c>
    </x:row>
    <x:row r="69">
      <x:c r="A69" s="5" t="s">
        <x:v>848</x:v>
      </x:c>
      <x:c r="B69" s="5">
        <x:v>2</x:v>
      </x:c>
      <x:c r="C69" s="5"/>
      <x:c r="D69" s="5" t="s">
        <x:v>849</x:v>
      </x:c>
      <x:c r="E69" s="5">
        <x:v>7</x:v>
      </x:c>
    </x:row>
    <x:row r="70">
      <x:c r="A70" s="5" t="s">
        <x:v>850</x:v>
      </x:c>
      <x:c r="B70" s="5">
        <x:v>2</x:v>
      </x:c>
      <x:c r="C70" s="5"/>
      <x:c r="D70" s="5" t="s">
        <x:v>809</x:v>
      </x:c>
      <x:c r="E70" s="5">
        <x:v>7</x:v>
      </x:c>
    </x:row>
    <x:row r="71">
      <x:c r="A71" s="5" t="s">
        <x:v>851</x:v>
      </x:c>
      <x:c r="B71" s="5">
        <x:v>2</x:v>
      </x:c>
      <x:c r="C71" s="5"/>
      <x:c r="D71" s="5" t="s">
        <x:v>749</x:v>
      </x:c>
      <x:c r="E71" s="5">
        <x:v>7</x:v>
      </x:c>
    </x:row>
    <x:row r="72">
      <x:c r="A72" s="5" t="s">
        <x:v>852</x:v>
      </x:c>
      <x:c r="B72" s="5">
        <x:v>2</x:v>
      </x:c>
      <x:c r="C72" s="5"/>
      <x:c r="D72" s="5" t="s">
        <x:v>853</x:v>
      </x:c>
      <x:c r="E72" s="5">
        <x:v>7</x:v>
      </x:c>
    </x:row>
    <x:row r="73">
      <x:c r="A73" s="5" t="s">
        <x:v>854</x:v>
      </x:c>
      <x:c r="B73" s="5">
        <x:v>2</x:v>
      </x:c>
      <x:c r="C73" s="5"/>
      <x:c r="D73" s="5" t="s">
        <x:v>855</x:v>
      </x:c>
      <x:c r="E73" s="5">
        <x:v>7</x:v>
      </x:c>
    </x:row>
    <x:row r="74">
      <x:c r="A74" s="5" t="s">
        <x:v>856</x:v>
      </x:c>
      <x:c r="B74" s="5">
        <x:v>2</x:v>
      </x:c>
      <x:c r="C74" s="5"/>
      <x:c r="D74" s="5" t="s">
        <x:v>780</x:v>
      </x:c>
      <x:c r="E74" s="5">
        <x:v>7</x:v>
      </x:c>
    </x:row>
    <x:row r="75">
      <x:c r="A75" s="5" t="s">
        <x:v>857</x:v>
      </x:c>
      <x:c r="B75" s="5">
        <x:v>1</x:v>
      </x:c>
      <x:c r="C75" s="5"/>
      <x:c r="D75" s="5" t="s">
        <x:v>858</x:v>
      </x:c>
      <x:c r="E75" s="5">
        <x:v>7</x:v>
      </x:c>
    </x:row>
    <x:row r="76">
      <x:c r="A76" s="5" t="s">
        <x:v>859</x:v>
      </x:c>
      <x:c r="B76" s="5">
        <x:v>1</x:v>
      </x:c>
      <x:c r="C76" s="5"/>
      <x:c r="D76" s="5" t="s">
        <x:v>860</x:v>
      </x:c>
      <x:c r="E76" s="5">
        <x:v>7</x:v>
      </x:c>
    </x:row>
    <x:row r="77">
      <x:c r="A77" s="5" t="s">
        <x:v>861</x:v>
      </x:c>
      <x:c r="B77" s="5">
        <x:v>1</x:v>
      </x:c>
      <x:c r="C77" s="5"/>
      <x:c r="D77" s="5" t="s">
        <x:v>862</x:v>
      </x:c>
      <x:c r="E77" s="5">
        <x:v>7</x:v>
      </x:c>
    </x:row>
    <x:row r="78">
      <x:c r="A78" s="5" t="s">
        <x:v>863</x:v>
      </x:c>
      <x:c r="B78" s="5">
        <x:v>1</x:v>
      </x:c>
      <x:c r="C78" s="5"/>
      <x:c r="D78" s="5" t="s">
        <x:v>864</x:v>
      </x:c>
      <x:c r="E78" s="5">
        <x:v>7</x:v>
      </x:c>
    </x:row>
    <x:row r="79">
      <x:c r="A79" s="5" t="s">
        <x:v>865</x:v>
      </x:c>
      <x:c r="B79" s="5">
        <x:v>1</x:v>
      </x:c>
      <x:c r="C79" s="5"/>
      <x:c r="D79" s="5" t="s">
        <x:v>866</x:v>
      </x:c>
      <x:c r="E79" s="5">
        <x:v>7</x:v>
      </x:c>
    </x:row>
    <x:row r="80">
      <x:c r="A80" s="5" t="s">
        <x:v>867</x:v>
      </x:c>
      <x:c r="B80" s="5">
        <x:v>1</x:v>
      </x:c>
      <x:c r="C80" s="5"/>
      <x:c r="D80" s="5" t="s">
        <x:v>868</x:v>
      </x:c>
      <x:c r="E80" s="5">
        <x:v>7</x:v>
      </x:c>
    </x:row>
    <x:row r="81">
      <x:c r="A81" s="5" t="s">
        <x:v>869</x:v>
      </x:c>
      <x:c r="B81" s="5">
        <x:v>1</x:v>
      </x:c>
      <x:c r="C81" s="5"/>
      <x:c r="D81" s="5" t="s">
        <x:v>763</x:v>
      </x:c>
      <x:c r="E81" s="5">
        <x:v>7</x:v>
      </x:c>
    </x:row>
    <x:row r="82">
      <x:c r="A82" s="5" t="s">
        <x:v>870</x:v>
      </x:c>
      <x:c r="B82" s="5">
        <x:v>1</x:v>
      </x:c>
      <x:c r="C82" s="5"/>
      <x:c r="D82" s="5" t="s">
        <x:v>871</x:v>
      </x:c>
      <x:c r="E82" s="5">
        <x:v>7</x:v>
      </x:c>
    </x:row>
    <x:row r="83">
      <x:c r="A83" s="5" t="s">
        <x:v>872</x:v>
      </x:c>
      <x:c r="B83" s="5">
        <x:v>1</x:v>
      </x:c>
      <x:c r="C83" s="5"/>
      <x:c r="D83" s="5" t="s">
        <x:v>873</x:v>
      </x:c>
      <x:c r="E83" s="5">
        <x:v>7</x:v>
      </x:c>
    </x:row>
    <x:row r="84">
      <x:c r="A84" s="5" t="s">
        <x:v>874</x:v>
      </x:c>
      <x:c r="B84" s="5">
        <x:v>1</x:v>
      </x:c>
      <x:c r="C84" s="5"/>
      <x:c r="D84" s="5" t="s">
        <x:v>875</x:v>
      </x:c>
      <x:c r="E84" s="5">
        <x:v>6</x:v>
      </x:c>
    </x:row>
    <x:row r="85">
      <x:c r="A85" s="5" t="s">
        <x:v>876</x:v>
      </x:c>
      <x:c r="B85" s="5">
        <x:v>1</x:v>
      </x:c>
      <x:c r="C85" s="5"/>
      <x:c r="D85" s="5" t="s">
        <x:v>777</x:v>
      </x:c>
      <x:c r="E85" s="5">
        <x:v>6</x:v>
      </x:c>
    </x:row>
    <x:row r="86">
      <x:c r="A86" s="5" t="s">
        <x:v>877</x:v>
      </x:c>
      <x:c r="B86" s="5">
        <x:v>1</x:v>
      </x:c>
      <x:c r="C86" s="5"/>
      <x:c r="D86" s="5" t="s">
        <x:v>878</x:v>
      </x:c>
      <x:c r="E86" s="5">
        <x:v>6</x:v>
      </x:c>
    </x:row>
    <x:row r="87">
      <x:c r="A87" s="5" t="s">
        <x:v>879</x:v>
      </x:c>
      <x:c r="B87" s="5">
        <x:v>1</x:v>
      </x:c>
      <x:c r="C87" s="5"/>
      <x:c r="D87" s="5" t="s">
        <x:v>755</x:v>
      </x:c>
      <x:c r="E87" s="5">
        <x:v>6</x:v>
      </x:c>
    </x:row>
    <x:row r="88">
      <x:c r="A88" s="5" t="s">
        <x:v>880</x:v>
      </x:c>
      <x:c r="B88" s="5">
        <x:v>1</x:v>
      </x:c>
      <x:c r="C88" s="5"/>
      <x:c r="D88" s="5" t="s">
        <x:v>881</x:v>
      </x:c>
      <x:c r="E88" s="5">
        <x:v>6</x:v>
      </x:c>
    </x:row>
    <x:row r="89">
      <x:c r="A89" s="5" t="s">
        <x:v>882</x:v>
      </x:c>
      <x:c r="B89" s="5">
        <x:v>1</x:v>
      </x:c>
      <x:c r="C89" s="5"/>
      <x:c r="D89" s="5" t="s">
        <x:v>883</x:v>
      </x:c>
      <x:c r="E89" s="5">
        <x:v>6</x:v>
      </x:c>
    </x:row>
    <x:row r="90">
      <x:c r="A90" s="5" t="s">
        <x:v>884</x:v>
      </x:c>
      <x:c r="B90" s="5">
        <x:v>1</x:v>
      </x:c>
      <x:c r="C90" s="5"/>
      <x:c r="D90" s="5" t="s">
        <x:v>782</x:v>
      </x:c>
      <x:c r="E90" s="5">
        <x:v>6</x:v>
      </x:c>
    </x:row>
    <x:row r="91">
      <x:c r="A91" s="5" t="s">
        <x:v>885</x:v>
      </x:c>
      <x:c r="B91" s="5">
        <x:v>1</x:v>
      </x:c>
      <x:c r="C91" s="5"/>
      <x:c r="D91" s="5" t="s">
        <x:v>886</x:v>
      </x:c>
      <x:c r="E91" s="5">
        <x:v>6</x:v>
      </x:c>
    </x:row>
    <x:row r="92">
      <x:c r="A92" s="5" t="s">
        <x:v>765</x:v>
      </x:c>
      <x:c r="B92" s="5">
        <x:v>1</x:v>
      </x:c>
      <x:c r="C92" s="5"/>
      <x:c r="D92" s="5" t="s">
        <x:v>887</x:v>
      </x:c>
      <x:c r="E92" s="5">
        <x:v>6</x:v>
      </x:c>
    </x:row>
    <x:row r="93">
      <x:c r="A93" s="5" t="s">
        <x:v>888</x:v>
      </x:c>
      <x:c r="B93" s="5">
        <x:v>1</x:v>
      </x:c>
      <x:c r="C93" s="5"/>
      <x:c r="D93" s="5" t="s">
        <x:v>889</x:v>
      </x:c>
      <x:c r="E93" s="5">
        <x:v>6</x:v>
      </x:c>
    </x:row>
    <x:row r="94">
      <x:c r="A94" s="5" t="s">
        <x:v>890</x:v>
      </x:c>
      <x:c r="B94" s="5">
        <x:v>1</x:v>
      </x:c>
      <x:c r="C94" s="5"/>
      <x:c r="D94" s="5" t="s">
        <x:v>761</x:v>
      </x:c>
      <x:c r="E94" s="5">
        <x:v>6</x:v>
      </x:c>
    </x:row>
    <x:row r="95">
      <x:c r="A95" s="5" t="s">
        <x:v>891</x:v>
      </x:c>
      <x:c r="B95" s="5">
        <x:v>1</x:v>
      </x:c>
      <x:c r="C95" s="5"/>
      <x:c r="D95" s="5" t="s">
        <x:v>892</x:v>
      </x:c>
      <x:c r="E95" s="5">
        <x:v>6</x:v>
      </x:c>
    </x:row>
    <x:row r="96">
      <x:c r="A96" s="5" t="s">
        <x:v>893</x:v>
      </x:c>
      <x:c r="B96" s="5">
        <x:v>1</x:v>
      </x:c>
      <x:c r="C96" s="5"/>
      <x:c r="D96" s="5" t="s">
        <x:v>766</x:v>
      </x:c>
      <x:c r="E96" s="5">
        <x:v>6</x:v>
      </x:c>
    </x:row>
    <x:row r="97">
      <x:c r="A97" s="5" t="s">
        <x:v>894</x:v>
      </x:c>
      <x:c r="B97" s="5">
        <x:v>1</x:v>
      </x:c>
      <x:c r="C97" s="5"/>
      <x:c r="D97" s="5" t="s">
        <x:v>895</x:v>
      </x:c>
      <x:c r="E97" s="5">
        <x:v>6</x:v>
      </x:c>
    </x:row>
    <x:row r="98">
      <x:c r="A98" s="5" t="s">
        <x:v>835</x:v>
      </x:c>
      <x:c r="B98" s="5">
        <x:v>1</x:v>
      </x:c>
      <x:c r="C98" s="5"/>
      <x:c r="D98" s="5" t="s">
        <x:v>772</x:v>
      </x:c>
      <x:c r="E98" s="5">
        <x:v>5</x:v>
      </x:c>
    </x:row>
    <x:row r="99">
      <x:c r="A99" s="5" t="s">
        <x:v>896</x:v>
      </x:c>
      <x:c r="B99" s="5">
        <x:v>1</x:v>
      </x:c>
      <x:c r="C99" s="5"/>
      <x:c r="D99" s="5" t="s">
        <x:v>897</x:v>
      </x:c>
      <x:c r="E99" s="5">
        <x:v>5</x:v>
      </x:c>
    </x:row>
    <x:row r="100">
      <x:c r="A100" s="5" t="s">
        <x:v>898</x:v>
      </x:c>
      <x:c r="B100" s="5">
        <x:v>1</x:v>
      </x:c>
      <x:c r="C100" s="5"/>
      <x:c r="D100" s="5" t="s">
        <x:v>899</x:v>
      </x:c>
      <x:c r="E100" s="5">
        <x:v>5</x:v>
      </x:c>
    </x:row>
    <x:row r="101">
      <x:c r="A101" s="5" t="s">
        <x:v>900</x:v>
      </x:c>
      <x:c r="B101" s="5">
        <x:v>1</x:v>
      </x:c>
      <x:c r="C101" s="5"/>
      <x:c r="D101" s="5" t="s">
        <x:v>901</x:v>
      </x:c>
      <x:c r="E101" s="5">
        <x:v>5</x:v>
      </x:c>
    </x:row>
    <x:row r="102">
      <x:c r="A102" s="5" t="s">
        <x:v>902</x:v>
      </x:c>
      <x:c r="B102" s="5">
        <x:v>1</x:v>
      </x:c>
      <x:c r="C102" s="5"/>
      <x:c r="D102" s="5" t="s">
        <x:v>903</x:v>
      </x:c>
      <x:c r="E102" s="5">
        <x:v>5</x:v>
      </x:c>
    </x:row>
    <x:row r="103">
      <x:c r="A103" s="5" t="s">
        <x:v>904</x:v>
      </x:c>
      <x:c r="B103" s="5">
        <x:v>1</x:v>
      </x:c>
      <x:c r="C103" s="5"/>
      <x:c r="D103" s="5" t="s">
        <x:v>905</x:v>
      </x:c>
      <x:c r="E103" s="5">
        <x:v>5</x:v>
      </x:c>
    </x:row>
    <x:row r="104">
      <x:c r="A104" s="5" t="s">
        <x:v>906</x:v>
      </x:c>
      <x:c r="B104" s="5">
        <x:v>1</x:v>
      </x:c>
      <x:c r="C104" s="5"/>
      <x:c r="D104" s="5" t="s">
        <x:v>907</x:v>
      </x:c>
      <x:c r="E104" s="5">
        <x:v>5</x:v>
      </x:c>
    </x:row>
    <x:row r="105">
      <x:c r="A105" s="5" t="s">
        <x:v>908</x:v>
      </x:c>
      <x:c r="B105" s="5">
        <x:v>1</x:v>
      </x:c>
      <x:c r="C105" s="5"/>
      <x:c r="D105" s="5" t="s">
        <x:v>909</x:v>
      </x:c>
      <x:c r="E105" s="5">
        <x:v>5</x:v>
      </x:c>
    </x:row>
    <x:row r="106">
      <x:c r="A106" s="5" t="s">
        <x:v>910</x:v>
      </x:c>
      <x:c r="B106" s="5">
        <x:v>1</x:v>
      </x:c>
      <x:c r="C106" s="5"/>
      <x:c r="D106" s="5" t="s">
        <x:v>911</x:v>
      </x:c>
      <x:c r="E106" s="5">
        <x:v>5</x:v>
      </x:c>
    </x:row>
    <x:row r="107">
      <x:c r="A107" s="5" t="s">
        <x:v>912</x:v>
      </x:c>
      <x:c r="B107" s="5">
        <x:v>1</x:v>
      </x:c>
      <x:c r="C107" s="5"/>
      <x:c r="D107" s="5" t="s">
        <x:v>789</x:v>
      </x:c>
      <x:c r="E107" s="5">
        <x:v>5</x:v>
      </x:c>
    </x:row>
    <x:row r="108">
      <x:c r="A108" s="5" t="s">
        <x:v>913</x:v>
      </x:c>
      <x:c r="B108" s="5">
        <x:v>1</x:v>
      </x:c>
      <x:c r="C108" s="5"/>
      <x:c r="D108" s="5" t="s">
        <x:v>757</x:v>
      </x:c>
      <x:c r="E108" s="5">
        <x:v>5</x:v>
      </x:c>
    </x:row>
    <x:row r="109">
      <x:c r="A109" s="5" t="s">
        <x:v>914</x:v>
      </x:c>
      <x:c r="B109" s="5">
        <x:v>1</x:v>
      </x:c>
      <x:c r="C109" s="5"/>
      <x:c r="D109" s="5" t="s">
        <x:v>781</x:v>
      </x:c>
      <x:c r="E109" s="5">
        <x:v>5</x:v>
      </x:c>
    </x:row>
    <x:row r="110">
      <x:c r="A110" s="5" t="s">
        <x:v>915</x:v>
      </x:c>
      <x:c r="B110" s="5">
        <x:v>1</x:v>
      </x:c>
      <x:c r="C110" s="5"/>
      <x:c r="D110" s="5" t="s">
        <x:v>793</x:v>
      </x:c>
      <x:c r="E110" s="5">
        <x:v>5</x:v>
      </x:c>
    </x:row>
    <x:row r="111">
      <x:c r="A111" s="5" t="s">
        <x:v>916</x:v>
      </x:c>
      <x:c r="B111" s="5">
        <x:v>1</x:v>
      </x:c>
      <x:c r="C111" s="5"/>
      <x:c r="D111" s="5" t="s">
        <x:v>848</x:v>
      </x:c>
      <x:c r="E111" s="5">
        <x:v>5</x:v>
      </x:c>
    </x:row>
    <x:row r="112">
      <x:c r="A112" s="5" t="s">
        <x:v>917</x:v>
      </x:c>
      <x:c r="B112" s="5">
        <x:v>1</x:v>
      </x:c>
      <x:c r="C112" s="5"/>
      <x:c r="D112" s="5" t="s">
        <x:v>918</x:v>
      </x:c>
      <x:c r="E112" s="5">
        <x:v>5</x:v>
      </x:c>
    </x:row>
    <x:row r="113">
      <x:c r="A113" s="5" t="s">
        <x:v>919</x:v>
      </x:c>
      <x:c r="B113" s="5">
        <x:v>1</x:v>
      </x:c>
      <x:c r="C113" s="5"/>
      <x:c r="D113" s="5" t="s">
        <x:v>920</x:v>
      </x:c>
      <x:c r="E113" s="5">
        <x:v>5</x:v>
      </x:c>
    </x:row>
    <x:row r="114">
      <x:c r="A114" s="5" t="s">
        <x:v>921</x:v>
      </x:c>
      <x:c r="B114" s="5">
        <x:v>1</x:v>
      </x:c>
      <x:c r="C114" s="5"/>
      <x:c r="D114" s="5" t="s">
        <x:v>922</x:v>
      </x:c>
      <x:c r="E114" s="5">
        <x:v>5</x:v>
      </x:c>
    </x:row>
    <x:row r="115">
      <x:c r="A115" s="5" t="s">
        <x:v>923</x:v>
      </x:c>
      <x:c r="B115" s="5">
        <x:v>1</x:v>
      </x:c>
      <x:c r="C115" s="5"/>
      <x:c r="D115" s="5" t="s">
        <x:v>924</x:v>
      </x:c>
      <x:c r="E115" s="5">
        <x:v>5</x:v>
      </x:c>
    </x:row>
    <x:row r="116">
      <x:c r="A116" s="5" t="s">
        <x:v>925</x:v>
      </x:c>
      <x:c r="B116" s="5">
        <x:v>1</x:v>
      </x:c>
      <x:c r="C116" s="5"/>
      <x:c r="D116" s="5" t="s">
        <x:v>785</x:v>
      </x:c>
      <x:c r="E116" s="5">
        <x:v>5</x:v>
      </x:c>
    </x:row>
    <x:row r="117">
      <x:c r="A117" s="5" t="s">
        <x:v>926</x:v>
      </x:c>
      <x:c r="B117" s="5">
        <x:v>1</x:v>
      </x:c>
      <x:c r="C117" s="5"/>
      <x:c r="D117" s="5" t="s">
        <x:v>792</x:v>
      </x:c>
      <x:c r="E117" s="5">
        <x:v>5</x:v>
      </x:c>
    </x:row>
    <x:row r="118">
      <x:c r="A118" s="5" t="s">
        <x:v>927</x:v>
      </x:c>
      <x:c r="B118" s="5">
        <x:v>1</x:v>
      </x:c>
      <x:c r="C118" s="5"/>
      <x:c r="D118" s="5" t="s">
        <x:v>928</x:v>
      </x:c>
      <x:c r="E118" s="5">
        <x:v>5</x:v>
      </x:c>
    </x:row>
    <x:row r="119">
      <x:c r="A119" s="5" t="s">
        <x:v>929</x:v>
      </x:c>
      <x:c r="B119" s="5">
        <x:v>1</x:v>
      </x:c>
      <x:c r="C119" s="5"/>
      <x:c r="D119" s="5" t="s">
        <x:v>930</x:v>
      </x:c>
      <x:c r="E119" s="5">
        <x:v>5</x:v>
      </x:c>
    </x:row>
    <x:row r="120">
      <x:c r="A120" s="5" t="s">
        <x:v>931</x:v>
      </x:c>
      <x:c r="B120" s="5">
        <x:v>1</x:v>
      </x:c>
      <x:c r="C120" s="5"/>
      <x:c r="D120" s="5" t="s">
        <x:v>932</x:v>
      </x:c>
      <x:c r="E120" s="5">
        <x:v>5</x:v>
      </x:c>
    </x:row>
    <x:row r="121">
      <x:c r="A121" s="5" t="s">
        <x:v>933</x:v>
      </x:c>
      <x:c r="B121" s="5">
        <x:v>1</x:v>
      </x:c>
      <x:c r="C121" s="5"/>
      <x:c r="D121" s="5" t="s">
        <x:v>934</x:v>
      </x:c>
      <x:c r="E121" s="5">
        <x:v>5</x:v>
      </x:c>
    </x:row>
    <x:row r="122">
      <x:c r="A122" s="5" t="s">
        <x:v>935</x:v>
      </x:c>
      <x:c r="B122" s="5">
        <x:v>1</x:v>
      </x:c>
      <x:c r="C122" s="5"/>
      <x:c r="D122" s="5" t="s">
        <x:v>936</x:v>
      </x:c>
      <x:c r="E122" s="5">
        <x:v>4</x:v>
      </x:c>
    </x:row>
    <x:row r="123">
      <x:c r="A123" s="5" t="s">
        <x:v>937</x:v>
      </x:c>
      <x:c r="B123" s="5">
        <x:v>1</x:v>
      </x:c>
      <x:c r="C123" s="5"/>
      <x:c r="D123" s="5" t="s">
        <x:v>938</x:v>
      </x:c>
      <x:c r="E123" s="5">
        <x:v>4</x:v>
      </x:c>
    </x:row>
    <x:row r="124">
      <x:c r="A124" s="5" t="s">
        <x:v>939</x:v>
      </x:c>
      <x:c r="B124" s="5">
        <x:v>1</x:v>
      </x:c>
      <x:c r="C124" s="5"/>
      <x:c r="D124" s="5" t="s">
        <x:v>940</x:v>
      </x:c>
      <x:c r="E124" s="5">
        <x:v>4</x:v>
      </x:c>
    </x:row>
    <x:row r="125">
      <x:c r="A125" s="5" t="s">
        <x:v>941</x:v>
      </x:c>
      <x:c r="B125" s="5">
        <x:v>1</x:v>
      </x:c>
      <x:c r="C125" s="5"/>
      <x:c r="D125" s="5" t="s">
        <x:v>942</x:v>
      </x:c>
      <x:c r="E125" s="5">
        <x:v>4</x:v>
      </x:c>
    </x:row>
    <x:row r="126">
      <x:c r="A126" s="5" t="s">
        <x:v>889</x:v>
      </x:c>
      <x:c r="B126" s="5">
        <x:v>1</x:v>
      </x:c>
      <x:c r="C126" s="5"/>
      <x:c r="D126" s="5" t="s">
        <x:v>943</x:v>
      </x:c>
      <x:c r="E126" s="5">
        <x:v>4</x:v>
      </x:c>
    </x:row>
    <x:row r="127">
      <x:c r="A127" s="5" t="s">
        <x:v>944</x:v>
      </x:c>
      <x:c r="B127" s="5">
        <x:v>1</x:v>
      </x:c>
      <x:c r="C127" s="5"/>
      <x:c r="D127" s="5" t="s">
        <x:v>751</x:v>
      </x:c>
      <x:c r="E127" s="5">
        <x:v>4</x:v>
      </x:c>
    </x:row>
    <x:row r="128">
      <x:c r="A128" s="5" t="s">
        <x:v>945</x:v>
      </x:c>
      <x:c r="B128" s="5">
        <x:v>1</x:v>
      </x:c>
      <x:c r="C128" s="5"/>
      <x:c r="D128" s="5" t="s">
        <x:v>946</x:v>
      </x:c>
      <x:c r="E128" s="5">
        <x:v>4</x:v>
      </x:c>
    </x:row>
    <x:row r="129">
      <x:c r="A129" s="5" t="s">
        <x:v>947</x:v>
      </x:c>
      <x:c r="B129" s="5">
        <x:v>1</x:v>
      </x:c>
      <x:c r="C129" s="5"/>
      <x:c r="D129" s="5" t="s">
        <x:v>948</x:v>
      </x:c>
      <x:c r="E129" s="5">
        <x:v>4</x:v>
      </x:c>
    </x:row>
    <x:row r="130">
      <x:c r="A130" s="5" t="s">
        <x:v>949</x:v>
      </x:c>
      <x:c r="B130" s="5">
        <x:v>1</x:v>
      </x:c>
      <x:c r="C130" s="5"/>
      <x:c r="D130" s="5" t="s">
        <x:v>950</x:v>
      </x:c>
      <x:c r="E130" s="5">
        <x:v>4</x:v>
      </x:c>
    </x:row>
    <x:row r="131">
      <x:c r="A131" s="5" t="s">
        <x:v>951</x:v>
      </x:c>
      <x:c r="B131" s="5">
        <x:v>1</x:v>
      </x:c>
      <x:c r="C131" s="5"/>
      <x:c r="D131" s="5" t="s">
        <x:v>952</x:v>
      </x:c>
      <x:c r="E131" s="5">
        <x:v>4</x:v>
      </x:c>
    </x:row>
    <x:row r="132">
      <x:c r="A132" s="5" t="s">
        <x:v>953</x:v>
      </x:c>
      <x:c r="B132" s="5">
        <x:v>1</x:v>
      </x:c>
      <x:c r="C132" s="5"/>
      <x:c r="D132" s="5" t="s">
        <x:v>954</x:v>
      </x:c>
      <x:c r="E132" s="5">
        <x:v>4</x:v>
      </x:c>
    </x:row>
    <x:row r="133">
      <x:c r="A133" s="5" t="s">
        <x:v>955</x:v>
      </x:c>
      <x:c r="B133" s="5">
        <x:v>1</x:v>
      </x:c>
      <x:c r="C133" s="5"/>
      <x:c r="D133" s="5" t="s">
        <x:v>956</x:v>
      </x:c>
      <x:c r="E133" s="5">
        <x:v>4</x:v>
      </x:c>
    </x:row>
    <x:row r="134">
      <x:c r="A134" s="5" t="s">
        <x:v>957</x:v>
      </x:c>
      <x:c r="B134" s="5">
        <x:v>1</x:v>
      </x:c>
      <x:c r="C134" s="5"/>
      <x:c r="D134" s="5" t="s">
        <x:v>776</x:v>
      </x:c>
      <x:c r="E134" s="5">
        <x:v>4</x:v>
      </x:c>
    </x:row>
    <x:row r="135">
      <x:c r="A135" s="5" t="s">
        <x:v>958</x:v>
      </x:c>
      <x:c r="B135" s="5">
        <x:v>1</x:v>
      </x:c>
      <x:c r="C135" s="5"/>
      <x:c r="D135" s="5" t="s">
        <x:v>959</x:v>
      </x:c>
      <x:c r="E135" s="5">
        <x:v>4</x:v>
      </x:c>
    </x:row>
    <x:row r="136">
      <x:c r="A136" s="5" t="s">
        <x:v>960</x:v>
      </x:c>
      <x:c r="B136" s="5">
        <x:v>1</x:v>
      </x:c>
      <x:c r="C136" s="5"/>
      <x:c r="D136" s="5" t="s">
        <x:v>961</x:v>
      </x:c>
      <x:c r="E136" s="5">
        <x:v>4</x:v>
      </x:c>
    </x:row>
    <x:row r="137">
      <x:c r="A137" s="5" t="s">
        <x:v>962</x:v>
      </x:c>
      <x:c r="B137" s="5">
        <x:v>1</x:v>
      </x:c>
      <x:c r="C137" s="5"/>
      <x:c r="D137" s="5" t="s">
        <x:v>951</x:v>
      </x:c>
      <x:c r="E137" s="5">
        <x:v>4</x:v>
      </x:c>
    </x:row>
    <x:row r="138">
      <x:c r="A138" s="5" t="s">
        <x:v>963</x:v>
      </x:c>
      <x:c r="B138" s="5">
        <x:v>1</x:v>
      </x:c>
      <x:c r="C138" s="5"/>
      <x:c r="D138" s="5" t="s">
        <x:v>964</x:v>
      </x:c>
      <x:c r="E138" s="5">
        <x:v>4</x:v>
      </x:c>
    </x:row>
    <x:row r="139">
      <x:c r="A139" s="5" t="s">
        <x:v>965</x:v>
      </x:c>
      <x:c r="B139" s="5">
        <x:v>1</x:v>
      </x:c>
      <x:c r="C139" s="5"/>
      <x:c r="D139" s="5" t="s">
        <x:v>966</x:v>
      </x:c>
      <x:c r="E139" s="5">
        <x:v>4</x:v>
      </x:c>
    </x:row>
    <x:row r="140">
      <x:c r="A140" s="5" t="s">
        <x:v>967</x:v>
      </x:c>
      <x:c r="B140" s="5">
        <x:v>1</x:v>
      </x:c>
      <x:c r="C140" s="5"/>
      <x:c r="D140" s="5" t="s">
        <x:v>968</x:v>
      </x:c>
      <x:c r="E140" s="5">
        <x:v>4</x:v>
      </x:c>
    </x:row>
    <x:row r="141">
      <x:c r="A141" s="5" t="s">
        <x:v>969</x:v>
      </x:c>
      <x:c r="B141" s="5">
        <x:v>1</x:v>
      </x:c>
      <x:c r="C141" s="5"/>
      <x:c r="D141" s="5" t="s">
        <x:v>970</x:v>
      </x:c>
      <x:c r="E141" s="5">
        <x:v>4</x:v>
      </x:c>
    </x:row>
    <x:row r="142">
      <x:c r="A142" s="5" t="s">
        <x:v>971</x:v>
      </x:c>
      <x:c r="B142" s="5">
        <x:v>1</x:v>
      </x:c>
      <x:c r="C142" s="5"/>
      <x:c r="D142" s="5" t="s">
        <x:v>972</x:v>
      </x:c>
      <x:c r="E142" s="5">
        <x:v>4</x:v>
      </x:c>
    </x:row>
    <x:row r="143">
      <x:c r="A143" s="5" t="s">
        <x:v>973</x:v>
      </x:c>
      <x:c r="B143" s="5">
        <x:v>1</x:v>
      </x:c>
      <x:c r="C143" s="5"/>
      <x:c r="D143" s="5" t="s">
        <x:v>974</x:v>
      </x:c>
      <x:c r="E143" s="5">
        <x:v>4</x:v>
      </x:c>
    </x:row>
    <x:row r="144">
      <x:c r="A144" s="5" t="s">
        <x:v>975</x:v>
      </x:c>
      <x:c r="B144" s="5">
        <x:v>1</x:v>
      </x:c>
      <x:c r="C144" s="5"/>
      <x:c r="D144" s="5" t="s">
        <x:v>759</x:v>
      </x:c>
      <x:c r="E144" s="5">
        <x:v>4</x:v>
      </x:c>
    </x:row>
    <x:row r="145">
      <x:c r="A145" s="5" t="s">
        <x:v>976</x:v>
      </x:c>
      <x:c r="B145" s="5">
        <x:v>1</x:v>
      </x:c>
      <x:c r="C145" s="5"/>
      <x:c r="D145" s="5" t="s">
        <x:v>977</x:v>
      </x:c>
      <x:c r="E145" s="5">
        <x:v>4</x:v>
      </x:c>
    </x:row>
    <x:row r="146">
      <x:c r="A146" s="5" t="s">
        <x:v>978</x:v>
      </x:c>
      <x:c r="B146" s="5">
        <x:v>1</x:v>
      </x:c>
      <x:c r="C146" s="5"/>
      <x:c r="D146" s="5" t="s">
        <x:v>955</x:v>
      </x:c>
      <x:c r="E146" s="5">
        <x:v>4</x:v>
      </x:c>
    </x:row>
    <x:row r="147">
      <x:c r="A147" s="5" t="s">
        <x:v>979</x:v>
      </x:c>
      <x:c r="B147" s="5">
        <x:v>1</x:v>
      </x:c>
      <x:c r="C147" s="5"/>
      <x:c r="D147" s="5" t="s">
        <x:v>967</x:v>
      </x:c>
      <x:c r="E147" s="5">
        <x:v>4</x:v>
      </x:c>
    </x:row>
    <x:row r="148">
      <x:c r="A148" s="5" t="s">
        <x:v>950</x:v>
      </x:c>
      <x:c r="B148" s="5">
        <x:v>1</x:v>
      </x:c>
      <x:c r="C148" s="5"/>
      <x:c r="D148" s="5" t="s">
        <x:v>980</x:v>
      </x:c>
      <x:c r="E148" s="5">
        <x:v>4</x:v>
      </x:c>
    </x:row>
    <x:row r="149">
      <x:c r="A149" s="5" t="s">
        <x:v>977</x:v>
      </x:c>
      <x:c r="B149" s="5">
        <x:v>1</x:v>
      </x:c>
      <x:c r="C149" s="5"/>
      <x:c r="D149" s="5" t="s">
        <x:v>981</x:v>
      </x:c>
      <x:c r="E149" s="5">
        <x:v>4</x:v>
      </x:c>
    </x:row>
    <x:row r="150">
      <x:c r="A150" s="5" t="s">
        <x:v>982</x:v>
      </x:c>
      <x:c r="B150" s="5">
        <x:v>1</x:v>
      </x:c>
      <x:c r="C150" s="5"/>
      <x:c r="D150" s="5" t="s">
        <x:v>983</x:v>
      </x:c>
      <x:c r="E150" s="5">
        <x:v>4</x:v>
      </x:c>
    </x:row>
    <x:row r="151">
      <x:c r="A151" s="5" t="s">
        <x:v>984</x:v>
      </x:c>
      <x:c r="B151" s="5">
        <x:v>1</x:v>
      </x:c>
      <x:c r="C151" s="5"/>
      <x:c r="D151" s="5" t="s">
        <x:v>960</x:v>
      </x:c>
      <x:c r="E151" s="5">
        <x:v>4</x:v>
      </x:c>
    </x:row>
    <x:row r="152">
      <x:c r="A152" s="5" t="s">
        <x:v>930</x:v>
      </x:c>
      <x:c r="B152" s="5">
        <x:v>1</x:v>
      </x:c>
      <x:c r="C152" s="5"/>
      <x:c r="D152" s="5" t="s">
        <x:v>985</x:v>
      </x:c>
      <x:c r="E152" s="5">
        <x:v>4</x:v>
      </x:c>
    </x:row>
    <x:row r="153">
      <x:c r="A153" s="5" t="s">
        <x:v>986</x:v>
      </x:c>
      <x:c r="B153" s="5">
        <x:v>1</x:v>
      </x:c>
      <x:c r="C153" s="5"/>
      <x:c r="D153" s="5" t="s">
        <x:v>770</x:v>
      </x:c>
      <x:c r="E153" s="5">
        <x:v>4</x:v>
      </x:c>
    </x:row>
    <x:row r="154">
      <x:c r="A154" s="5" t="s">
        <x:v>987</x:v>
      </x:c>
      <x:c r="B154" s="5">
        <x:v>1</x:v>
      </x:c>
      <x:c r="C154" s="5"/>
      <x:c r="D154" s="5" t="s">
        <x:v>988</x:v>
      </x:c>
      <x:c r="E154" s="5">
        <x:v>4</x:v>
      </x:c>
    </x:row>
    <x:row r="155">
      <x:c r="A155" s="5" t="s">
        <x:v>989</x:v>
      </x:c>
      <x:c r="B155" s="5">
        <x:v>1</x:v>
      </x:c>
      <x:c r="C155" s="5"/>
      <x:c r="D155" s="5" t="s">
        <x:v>990</x:v>
      </x:c>
      <x:c r="E155" s="5">
        <x:v>4</x:v>
      </x:c>
    </x:row>
    <x:row r="156">
      <x:c r="A156" s="5" t="s">
        <x:v>991</x:v>
      </x:c>
      <x:c r="B156" s="5">
        <x:v>1</x:v>
      </x:c>
      <x:c r="C156" s="5"/>
      <x:c r="D156" s="5" t="s">
        <x:v>992</x:v>
      </x:c>
      <x:c r="E156" s="5">
        <x:v>4</x:v>
      </x:c>
    </x:row>
    <x:row r="157">
      <x:c r="A157" s="5" t="s">
        <x:v>993</x:v>
      </x:c>
      <x:c r="B157" s="5">
        <x:v>1</x:v>
      </x:c>
      <x:c r="C157" s="5"/>
      <x:c r="D157" s="5" t="s">
        <x:v>994</x:v>
      </x:c>
      <x:c r="E157" s="5">
        <x:v>3</x:v>
      </x:c>
    </x:row>
    <x:row r="158">
      <x:c r="A158" s="5" t="s">
        <x:v>995</x:v>
      </x:c>
      <x:c r="B158" s="5">
        <x:v>1</x:v>
      </x:c>
      <x:c r="C158" s="5"/>
      <x:c r="D158" s="5" t="s">
        <x:v>996</x:v>
      </x:c>
      <x:c r="E158" s="5">
        <x:v>3</x:v>
      </x:c>
    </x:row>
    <x:row r="159">
      <x:c r="A159" s="5" t="s">
        <x:v>990</x:v>
      </x:c>
      <x:c r="B159" s="5">
        <x:v>1</x:v>
      </x:c>
      <x:c r="C159" s="5"/>
      <x:c r="D159" s="5" t="s">
        <x:v>997</x:v>
      </x:c>
      <x:c r="E159" s="5">
        <x:v>3</x:v>
      </x:c>
    </x:row>
    <x:row r="160">
      <x:c r="A160" s="5" t="s">
        <x:v>998</x:v>
      </x:c>
      <x:c r="B160" s="5">
        <x:v>1</x:v>
      </x:c>
      <x:c r="C160" s="5"/>
      <x:c r="D160" s="5" t="s">
        <x:v>999</x:v>
      </x:c>
      <x:c r="E160" s="5">
        <x:v>3</x:v>
      </x:c>
    </x:row>
    <x:row r="161">
      <x:c r="A161" s="5" t="s">
        <x:v>1000</x:v>
      </x:c>
      <x:c r="B161" s="5">
        <x:v>1</x:v>
      </x:c>
      <x:c r="C161" s="5"/>
      <x:c r="D161" s="5" t="s">
        <x:v>803</x:v>
      </x:c>
      <x:c r="E161" s="5">
        <x:v>3</x:v>
      </x:c>
    </x:row>
    <x:row r="162">
      <x:c r="A162" s="5" t="s">
        <x:v>1001</x:v>
      </x:c>
      <x:c r="B162" s="5">
        <x:v>1</x:v>
      </x:c>
      <x:c r="C162" s="5"/>
      <x:c r="D162" s="5" t="s">
        <x:v>1002</x:v>
      </x:c>
      <x:c r="E162" s="5">
        <x:v>3</x:v>
      </x:c>
    </x:row>
    <x:row r="163">
      <x:c r="A163" s="5" t="s">
        <x:v>1003</x:v>
      </x:c>
      <x:c r="B163" s="5">
        <x:v>1</x:v>
      </x:c>
      <x:c r="C163" s="5"/>
      <x:c r="D163" s="5" t="s">
        <x:v>1004</x:v>
      </x:c>
      <x:c r="E163" s="5">
        <x:v>3</x:v>
      </x:c>
    </x:row>
    <x:row r="164">
      <x:c r="A164" s="5" t="s">
        <x:v>1005</x:v>
      </x:c>
      <x:c r="B164" s="5">
        <x:v>1</x:v>
      </x:c>
      <x:c r="C164" s="5"/>
      <x:c r="D164" s="5" t="s">
        <x:v>1006</x:v>
      </x:c>
      <x:c r="E164" s="5">
        <x:v>3</x:v>
      </x:c>
    </x:row>
    <x:row r="165">
      <x:c r="A165" s="5" t="s">
        <x:v>1007</x:v>
      </x:c>
      <x:c r="B165" s="5">
        <x:v>1</x:v>
      </x:c>
      <x:c r="C165" s="5"/>
      <x:c r="D165" s="5" t="s">
        <x:v>1008</x:v>
      </x:c>
      <x:c r="E165" s="5">
        <x:v>3</x:v>
      </x:c>
    </x:row>
    <x:row r="166">
      <x:c r="A166" s="5" t="s">
        <x:v>1009</x:v>
      </x:c>
      <x:c r="B166" s="5">
        <x:v>1</x:v>
      </x:c>
      <x:c r="C166" s="5"/>
      <x:c r="D166" s="5" t="s">
        <x:v>1010</x:v>
      </x:c>
      <x:c r="E166" s="5">
        <x:v>3</x:v>
      </x:c>
    </x:row>
    <x:row r="167">
      <x:c r="A167" s="5" t="s">
        <x:v>1011</x:v>
      </x:c>
      <x:c r="B167" s="5">
        <x:v>1</x:v>
      </x:c>
      <x:c r="C167" s="5"/>
      <x:c r="D167" s="5" t="s">
        <x:v>1012</x:v>
      </x:c>
      <x:c r="E167" s="5">
        <x:v>3</x:v>
      </x:c>
    </x:row>
    <x:row r="168">
      <x:c r="A168" s="5" t="s">
        <x:v>1013</x:v>
      </x:c>
      <x:c r="B168" s="5">
        <x:v>1</x:v>
      </x:c>
      <x:c r="C168" s="5"/>
      <x:c r="D168" s="5" t="s">
        <x:v>1014</x:v>
      </x:c>
      <x:c r="E168" s="5">
        <x:v>3</x:v>
      </x:c>
    </x:row>
    <x:row r="169">
      <x:c r="A169" s="5" t="s">
        <x:v>1015</x:v>
      </x:c>
      <x:c r="B169" s="5">
        <x:v>1</x:v>
      </x:c>
      <x:c r="C169" s="5"/>
      <x:c r="D169" s="5" t="s">
        <x:v>1016</x:v>
      </x:c>
      <x:c r="E169" s="5">
        <x:v>3</x:v>
      </x:c>
    </x:row>
    <x:row r="170">
      <x:c r="A170" s="5" t="s">
        <x:v>1017</x:v>
      </x:c>
      <x:c r="B170" s="5">
        <x:v>1</x:v>
      </x:c>
      <x:c r="C170" s="5"/>
      <x:c r="D170" s="5" t="s">
        <x:v>1018</x:v>
      </x:c>
      <x:c r="E170" s="5">
        <x:v>3</x:v>
      </x:c>
    </x:row>
    <x:row r="171">
      <x:c r="A171" s="5" t="s">
        <x:v>1019</x:v>
      </x:c>
      <x:c r="B171" s="5">
        <x:v>1</x:v>
      </x:c>
      <x:c r="C171" s="5"/>
      <x:c r="D171" s="5" t="s">
        <x:v>1020</x:v>
      </x:c>
      <x:c r="E171" s="5">
        <x:v>3</x:v>
      </x:c>
    </x:row>
    <x:row r="172">
      <x:c r="A172" s="5" t="s">
        <x:v>1021</x:v>
      </x:c>
      <x:c r="B172" s="5">
        <x:v>1</x:v>
      </x:c>
      <x:c r="C172" s="5"/>
      <x:c r="D172" s="5" t="s">
        <x:v>1022</x:v>
      </x:c>
      <x:c r="E172" s="5">
        <x:v>3</x:v>
      </x:c>
    </x:row>
    <x:row r="173">
      <x:c r="A173" s="5" t="s">
        <x:v>1023</x:v>
      </x:c>
      <x:c r="B173" s="5">
        <x:v>1</x:v>
      </x:c>
      <x:c r="C173" s="5"/>
      <x:c r="D173" s="5" t="s">
        <x:v>910</x:v>
      </x:c>
      <x:c r="E173" s="5">
        <x:v>3</x:v>
      </x:c>
    </x:row>
    <x:row r="174">
      <x:c r="A174" s="5" t="s">
        <x:v>1024</x:v>
      </x:c>
      <x:c r="B174" s="5">
        <x:v>1</x:v>
      </x:c>
      <x:c r="C174" s="5"/>
      <x:c r="D174" s="5" t="s">
        <x:v>879</x:v>
      </x:c>
      <x:c r="E174" s="5">
        <x:v>3</x:v>
      </x:c>
    </x:row>
    <x:row r="175">
      <x:c r="A175" s="5" t="s">
        <x:v>1025</x:v>
      </x:c>
      <x:c r="B175" s="5">
        <x:v>1</x:v>
      </x:c>
      <x:c r="C175" s="5"/>
      <x:c r="D175" s="5" t="s">
        <x:v>1026</x:v>
      </x:c>
      <x:c r="E175" s="5">
        <x:v>3</x:v>
      </x:c>
    </x:row>
    <x:row r="176">
      <x:c r="A176" s="5" t="s">
        <x:v>1027</x:v>
      </x:c>
      <x:c r="B176" s="5">
        <x:v>1</x:v>
      </x:c>
      <x:c r="C176" s="5"/>
      <x:c r="D176" s="5" t="s">
        <x:v>1028</x:v>
      </x:c>
      <x:c r="E176" s="5">
        <x:v>3</x:v>
      </x:c>
    </x:row>
    <x:row r="177">
      <x:c r="A177" s="5" t="s">
        <x:v>1029</x:v>
      </x:c>
      <x:c r="B177" s="5">
        <x:v>1</x:v>
      </x:c>
      <x:c r="C177" s="5"/>
      <x:c r="D177" s="5" t="s">
        <x:v>1030</x:v>
      </x:c>
      <x:c r="E177" s="5">
        <x:v>3</x:v>
      </x:c>
    </x:row>
    <x:row r="178">
      <x:c r="A178" s="5" t="s">
        <x:v>1031</x:v>
      </x:c>
      <x:c r="B178" s="5">
        <x:v>1</x:v>
      </x:c>
      <x:c r="C178" s="5"/>
      <x:c r="D178" s="5" t="s">
        <x:v>807</x:v>
      </x:c>
      <x:c r="E178" s="5">
        <x:v>3</x:v>
      </x:c>
    </x:row>
    <x:row r="179">
      <x:c r="A179" s="5" t="s">
        <x:v>849</x:v>
      </x:c>
      <x:c r="B179" s="5">
        <x:v>1</x:v>
      </x:c>
      <x:c r="C179" s="5"/>
      <x:c r="D179" s="5" t="s">
        <x:v>1032</x:v>
      </x:c>
      <x:c r="E179" s="5">
        <x:v>3</x:v>
      </x:c>
    </x:row>
    <x:row r="180">
      <x:c r="A180" s="5" t="s">
        <x:v>1033</x:v>
      </x:c>
      <x:c r="B180" s="5">
        <x:v>1</x:v>
      </x:c>
      <x:c r="C180" s="5"/>
      <x:c r="D180" s="5" t="s">
        <x:v>1034</x:v>
      </x:c>
      <x:c r="E180" s="5">
        <x:v>3</x:v>
      </x:c>
    </x:row>
    <x:row r="181">
      <x:c r="A181" s="5" t="s">
        <x:v>1035</x:v>
      </x:c>
      <x:c r="B181" s="5">
        <x:v>1</x:v>
      </x:c>
      <x:c r="C181" s="5"/>
      <x:c r="D181" s="5" t="s">
        <x:v>1036</x:v>
      </x:c>
      <x:c r="E181" s="5">
        <x:v>3</x:v>
      </x:c>
    </x:row>
    <x:row r="182">
      <x:c r="A182" s="5" t="s">
        <x:v>1037</x:v>
      </x:c>
      <x:c r="B182" s="5">
        <x:v>1</x:v>
      </x:c>
      <x:c r="C182" s="5"/>
      <x:c r="D182" s="5" t="s">
        <x:v>1038</x:v>
      </x:c>
      <x:c r="E182" s="5">
        <x:v>3</x:v>
      </x:c>
    </x:row>
    <x:row r="183">
      <x:c r="A183" s="5" t="s">
        <x:v>1039</x:v>
      </x:c>
      <x:c r="B183" s="5">
        <x:v>1</x:v>
      </x:c>
      <x:c r="C183" s="5"/>
      <x:c r="D183" s="5" t="s">
        <x:v>1040</x:v>
      </x:c>
      <x:c r="E183" s="5">
        <x:v>3</x:v>
      </x:c>
    </x:row>
    <x:row r="184">
      <x:c r="A184" s="5" t="s">
        <x:v>974</x:v>
      </x:c>
      <x:c r="B184" s="5">
        <x:v>1</x:v>
      </x:c>
      <x:c r="C184" s="5"/>
      <x:c r="D184" s="5" t="s">
        <x:v>1041</x:v>
      </x:c>
      <x:c r="E184" s="5">
        <x:v>3</x:v>
      </x:c>
    </x:row>
    <x:row r="185">
      <x:c r="A185" s="5" t="s">
        <x:v>1042</x:v>
      </x:c>
      <x:c r="B185" s="5">
        <x:v>1</x:v>
      </x:c>
      <x:c r="C185" s="5"/>
      <x:c r="D185" s="5" t="s">
        <x:v>774</x:v>
      </x:c>
      <x:c r="E185" s="5">
        <x:v>3</x:v>
      </x:c>
    </x:row>
    <x:row r="186">
      <x:c r="A186" s="5" t="s">
        <x:v>1043</x:v>
      </x:c>
      <x:c r="B186" s="5">
        <x:v>1</x:v>
      </x:c>
      <x:c r="C186" s="5"/>
      <x:c r="D186" s="5" t="s">
        <x:v>1044</x:v>
      </x:c>
      <x:c r="E186" s="5">
        <x:v>3</x:v>
      </x:c>
    </x:row>
    <x:row r="187">
      <x:c r="A187" s="5" t="s">
        <x:v>794</x:v>
      </x:c>
      <x:c r="B187" s="5">
        <x:v>1</x:v>
      </x:c>
      <x:c r="C187" s="5"/>
      <x:c r="D187" s="5" t="s">
        <x:v>1045</x:v>
      </x:c>
      <x:c r="E187" s="5">
        <x:v>3</x:v>
      </x:c>
    </x:row>
    <x:row r="188">
      <x:c r="A188" s="5" t="s">
        <x:v>1046</x:v>
      </x:c>
      <x:c r="B188" s="5">
        <x:v>1</x:v>
      </x:c>
      <x:c r="C188" s="5"/>
      <x:c r="D188" s="5" t="s">
        <x:v>1047</x:v>
      </x:c>
      <x:c r="E188" s="5">
        <x:v>3</x:v>
      </x:c>
    </x:row>
    <x:row r="189">
      <x:c r="A189" s="5" t="s">
        <x:v>1048</x:v>
      </x:c>
      <x:c r="B189" s="5">
        <x:v>1</x:v>
      </x:c>
      <x:c r="C189" s="5"/>
      <x:c r="D189" s="5" t="s">
        <x:v>1049</x:v>
      </x:c>
      <x:c r="E189" s="5">
        <x:v>3</x:v>
      </x:c>
    </x:row>
    <x:row r="190">
      <x:c r="A190" s="5" t="s">
        <x:v>1050</x:v>
      </x:c>
      <x:c r="B190" s="5">
        <x:v>1</x:v>
      </x:c>
      <x:c r="C190" s="5"/>
      <x:c r="D190" s="5" t="s">
        <x:v>1051</x:v>
      </x:c>
      <x:c r="E190" s="5">
        <x:v>3</x:v>
      </x:c>
    </x:row>
    <x:row r="191">
      <x:c r="A191" s="5" t="s">
        <x:v>972</x:v>
      </x:c>
      <x:c r="B191" s="5">
        <x:v>1</x:v>
      </x:c>
      <x:c r="C191" s="5"/>
      <x:c r="D191" s="5" t="s">
        <x:v>1052</x:v>
      </x:c>
      <x:c r="E191" s="5">
        <x:v>3</x:v>
      </x:c>
    </x:row>
    <x:row r="192">
      <x:c r="A192" s="5" t="s">
        <x:v>1020</x:v>
      </x:c>
      <x:c r="B192" s="5">
        <x:v>1</x:v>
      </x:c>
      <x:c r="C192" s="5"/>
      <x:c r="D192" s="5" t="s">
        <x:v>828</x:v>
      </x:c>
      <x:c r="E192" s="5">
        <x:v>3</x:v>
      </x:c>
    </x:row>
    <x:row r="193">
      <x:c r="A193" s="5" t="s">
        <x:v>1053</x:v>
      </x:c>
      <x:c r="B193" s="5">
        <x:v>1</x:v>
      </x:c>
      <x:c r="C193" s="5"/>
      <x:c r="D193" s="5" t="s">
        <x:v>779</x:v>
      </x:c>
      <x:c r="E193" s="5">
        <x:v>3</x:v>
      </x:c>
    </x:row>
    <x:row r="194">
      <x:c r="A194" s="5" t="s">
        <x:v>1054</x:v>
      </x:c>
      <x:c r="B194" s="5">
        <x:v>1</x:v>
      </x:c>
      <x:c r="C194" s="5"/>
      <x:c r="D194" s="5" t="s">
        <x:v>1055</x:v>
      </x:c>
      <x:c r="E194" s="5">
        <x:v>3</x:v>
      </x:c>
    </x:row>
    <x:row r="195">
      <x:c r="A195" s="5" t="s">
        <x:v>1044</x:v>
      </x:c>
      <x:c r="B195" s="5">
        <x:v>1</x:v>
      </x:c>
      <x:c r="C195" s="5"/>
      <x:c r="D195" s="5" t="s">
        <x:v>1056</x:v>
      </x:c>
      <x:c r="E195" s="5">
        <x:v>3</x:v>
      </x:c>
    </x:row>
    <x:row r="196">
      <x:c r="A196" s="5" t="s">
        <x:v>892</x:v>
      </x:c>
      <x:c r="B196" s="5">
        <x:v>1</x:v>
      </x:c>
      <x:c r="C196" s="5"/>
      <x:c r="D196" s="5" t="s">
        <x:v>1057</x:v>
      </x:c>
      <x:c r="E196" s="5">
        <x:v>3</x:v>
      </x:c>
    </x:row>
    <x:row r="197">
      <x:c r="A197" s="5" t="s">
        <x:v>980</x:v>
      </x:c>
      <x:c r="B197" s="5">
        <x:v>1</x:v>
      </x:c>
      <x:c r="C197" s="5"/>
      <x:c r="D197" s="5" t="s">
        <x:v>1058</x:v>
      </x:c>
      <x:c r="E197" s="5">
        <x:v>3</x:v>
      </x:c>
    </x:row>
    <x:row r="198">
      <x:c r="A198" s="5" t="s">
        <x:v>1059</x:v>
      </x:c>
      <x:c r="B198" s="5">
        <x:v>1</x:v>
      </x:c>
      <x:c r="C198" s="5"/>
      <x:c r="D198" s="5" t="s">
        <x:v>1060</x:v>
      </x:c>
      <x:c r="E198" s="5">
        <x:v>3</x:v>
      </x:c>
    </x:row>
    <x:row r="199">
      <x:c r="A199" s="5" t="s">
        <x:v>1061</x:v>
      </x:c>
      <x:c r="B199" s="5">
        <x:v>1</x:v>
      </x:c>
      <x:c r="C199" s="5"/>
      <x:c r="D199" s="5" t="s">
        <x:v>1062</x:v>
      </x:c>
      <x:c r="E199" s="5">
        <x:v>3</x:v>
      </x:c>
    </x:row>
    <x:row r="200">
      <x:c r="A200" s="5" t="s">
        <x:v>1063</x:v>
      </x:c>
      <x:c r="B200" s="5">
        <x:v>1</x:v>
      </x:c>
      <x:c r="C200" s="5"/>
      <x:c r="D200" s="5" t="s">
        <x:v>1064</x:v>
      </x:c>
      <x:c r="E200" s="5">
        <x:v>3</x:v>
      </x:c>
    </x:row>
    <x:row r="201">
      <x:c r="A201" s="5" t="s">
        <x:v>1065</x:v>
      </x:c>
      <x:c r="B201" s="5">
        <x:v>1</x:v>
      </x:c>
      <x:c r="C201" s="5"/>
      <x:c r="D201" s="5" t="s">
        <x:v>1066</x:v>
      </x:c>
      <x:c r="E201" s="5">
        <x:v>3</x:v>
      </x:c>
    </x:row>
    <x:row r="202">
      <x:c r="A202" s="5" t="s">
        <x:v>1067</x:v>
      </x:c>
      <x:c r="B202" s="5">
        <x:v>1</x:v>
      </x:c>
      <x:c r="C202" s="5"/>
      <x:c r="D202" s="5" t="s">
        <x:v>784</x:v>
      </x:c>
      <x:c r="E202" s="5">
        <x:v>3</x:v>
      </x:c>
    </x:row>
    <x:row r="203">
      <x:c r="A203" s="5" t="s">
        <x:v>1068</x:v>
      </x:c>
      <x:c r="B203" s="5">
        <x:v>1</x:v>
      </x:c>
      <x:c r="C203" s="5"/>
      <x:c r="D203" s="5" t="s">
        <x:v>841</x:v>
      </x:c>
      <x:c r="E203" s="5">
        <x:v>3</x:v>
      </x:c>
    </x:row>
    <x:row r="204">
      <x:c r="A204" s="5" t="s">
        <x:v>1069</x:v>
      </x:c>
      <x:c r="B204" s="5">
        <x:v>1</x:v>
      </x:c>
      <x:c r="C204" s="5"/>
      <x:c r="D204" s="5" t="s">
        <x:v>949</x:v>
      </x:c>
      <x:c r="E204" s="5">
        <x:v>3</x:v>
      </x:c>
    </x:row>
    <x:row r="205">
      <x:c r="A205" s="5"/>
      <x:c r="B205" s="5"/>
      <x:c r="C205" s="5"/>
      <x:c r="D205" s="5" t="s">
        <x:v>1070</x:v>
      </x:c>
      <x:c r="E205" s="5">
        <x:v>3</x:v>
      </x:c>
    </x:row>
    <x:row r="206">
      <x:c r="A206" s="5"/>
      <x:c r="B206" s="5"/>
      <x:c r="C206" s="5"/>
      <x:c r="D206" s="5" t="s">
        <x:v>1071</x:v>
      </x:c>
      <x:c r="E206" s="5">
        <x:v>3</x:v>
      </x:c>
    </x:row>
    <x:row r="207">
      <x:c r="A207" s="5"/>
      <x:c r="B207" s="5"/>
      <x:c r="C207" s="5"/>
      <x:c r="D207" s="5" t="s">
        <x:v>1072</x:v>
      </x:c>
      <x:c r="E207" s="5">
        <x:v>3</x:v>
      </x:c>
    </x:row>
    <x:row r="208">
      <x:c r="A208" s="5"/>
      <x:c r="B208" s="5"/>
      <x:c r="C208" s="5"/>
      <x:c r="D208" s="5" t="s">
        <x:v>826</x:v>
      </x:c>
      <x:c r="E208" s="5">
        <x:v>3</x:v>
      </x:c>
    </x:row>
    <x:row r="209">
      <x:c r="A209" s="5"/>
      <x:c r="B209" s="5"/>
      <x:c r="C209" s="5"/>
      <x:c r="D209" s="5" t="s">
        <x:v>822</x:v>
      </x:c>
      <x:c r="E209" s="5">
        <x:v>3</x:v>
      </x:c>
    </x:row>
    <x:row r="210">
      <x:c r="A210" s="5"/>
      <x:c r="B210" s="5"/>
      <x:c r="C210" s="5"/>
      <x:c r="D210" s="5" t="s">
        <x:v>1073</x:v>
      </x:c>
      <x:c r="E210" s="5">
        <x:v>3</x:v>
      </x:c>
    </x:row>
    <x:row r="211">
      <x:c r="A211" s="5"/>
      <x:c r="B211" s="5"/>
      <x:c r="C211" s="5"/>
      <x:c r="D211" s="5" t="s">
        <x:v>787</x:v>
      </x:c>
      <x:c r="E211" s="5">
        <x:v>3</x:v>
      </x:c>
    </x:row>
    <x:row r="212">
      <x:c r="A212" s="5"/>
      <x:c r="B212" s="5"/>
      <x:c r="C212" s="5"/>
      <x:c r="D212" s="5" t="s">
        <x:v>1074</x:v>
      </x:c>
      <x:c r="E212" s="5">
        <x:v>3</x:v>
      </x:c>
    </x:row>
    <x:row r="213">
      <x:c r="A213" s="5"/>
      <x:c r="B213" s="5"/>
      <x:c r="C213" s="5"/>
      <x:c r="D213" s="5" t="s">
        <x:v>1075</x:v>
      </x:c>
      <x:c r="E213" s="5">
        <x:v>3</x:v>
      </x:c>
    </x:row>
    <x:row r="214">
      <x:c r="A214" s="5"/>
      <x:c r="B214" s="5"/>
      <x:c r="C214" s="5"/>
      <x:c r="D214" s="5" t="s">
        <x:v>824</x:v>
      </x:c>
      <x:c r="E214" s="5">
        <x:v>3</x:v>
      </x:c>
    </x:row>
    <x:row r="215">
      <x:c r="A215" s="5"/>
      <x:c r="B215" s="5"/>
      <x:c r="C215" s="5"/>
      <x:c r="D215" s="5" t="s">
        <x:v>1076</x:v>
      </x:c>
      <x:c r="E215" s="5">
        <x:v>3</x:v>
      </x:c>
    </x:row>
    <x:row r="216">
      <x:c r="A216" s="5"/>
      <x:c r="B216" s="5"/>
      <x:c r="C216" s="5"/>
      <x:c r="D216" s="5" t="s">
        <x:v>969</x:v>
      </x:c>
      <x:c r="E216" s="5">
        <x:v>3</x:v>
      </x:c>
    </x:row>
    <x:row r="217">
      <x:c r="A217" s="5"/>
      <x:c r="B217" s="5"/>
      <x:c r="C217" s="5"/>
      <x:c r="D217" s="5" t="s">
        <x:v>1077</x:v>
      </x:c>
      <x:c r="E217" s="5">
        <x:v>3</x:v>
      </x:c>
    </x:row>
    <x:row r="218">
      <x:c r="A218" s="5"/>
      <x:c r="B218" s="5"/>
      <x:c r="C218" s="5"/>
      <x:c r="D218" s="5" t="s">
        <x:v>1078</x:v>
      </x:c>
      <x:c r="E218" s="5">
        <x:v>3</x:v>
      </x:c>
    </x:row>
    <x:row r="219">
      <x:c r="A219" s="5"/>
      <x:c r="B219" s="5"/>
      <x:c r="C219" s="5"/>
      <x:c r="D219" s="5" t="s">
        <x:v>1079</x:v>
      </x:c>
      <x:c r="E219" s="5">
        <x:v>3</x:v>
      </x:c>
    </x:row>
    <x:row r="220">
      <x:c r="A220" s="5"/>
      <x:c r="B220" s="5"/>
      <x:c r="C220" s="5"/>
      <x:c r="D220" s="5" t="s">
        <x:v>1025</x:v>
      </x:c>
      <x:c r="E220" s="5">
        <x:v>3</x:v>
      </x:c>
    </x:row>
    <x:row r="221">
      <x:c r="A221" s="5"/>
      <x:c r="B221" s="5"/>
      <x:c r="C221" s="5"/>
      <x:c r="D221" s="5" t="s">
        <x:v>795</x:v>
      </x:c>
      <x:c r="E221" s="5">
        <x:v>3</x:v>
      </x:c>
    </x:row>
    <x:row r="222">
      <x:c r="A222" s="5"/>
      <x:c r="B222" s="5"/>
      <x:c r="C222" s="5"/>
      <x:c r="D222" s="5" t="s">
        <x:v>833</x:v>
      </x:c>
      <x:c r="E222" s="5">
        <x:v>3</x:v>
      </x:c>
    </x:row>
    <x:row r="223">
      <x:c r="A223" s="5"/>
      <x:c r="B223" s="5"/>
      <x:c r="C223" s="5"/>
      <x:c r="D223" s="5" t="s">
        <x:v>1080</x:v>
      </x:c>
      <x:c r="E223" s="5">
        <x:v>3</x:v>
      </x:c>
    </x:row>
    <x:row r="224">
      <x:c r="A224" s="5"/>
      <x:c r="B224" s="5"/>
      <x:c r="C224" s="5"/>
      <x:c r="D224" s="5" t="s">
        <x:v>1081</x:v>
      </x:c>
      <x:c r="E224" s="5">
        <x:v>3</x:v>
      </x:c>
    </x:row>
    <x:row r="225">
      <x:c r="A225" s="5"/>
      <x:c r="B225" s="5"/>
      <x:c r="C225" s="5"/>
      <x:c r="D225" s="5" t="s">
        <x:v>1082</x:v>
      </x:c>
      <x:c r="E225" s="5">
        <x:v>3</x:v>
      </x:c>
    </x:row>
    <x:row r="226">
      <x:c r="A226" s="5"/>
      <x:c r="B226" s="5"/>
      <x:c r="C226" s="5"/>
      <x:c r="D226" s="5" t="s">
        <x:v>1083</x:v>
      </x:c>
      <x:c r="E226" s="5">
        <x:v>3</x:v>
      </x:c>
    </x:row>
    <x:row r="227">
      <x:c r="A227" s="5"/>
      <x:c r="B227" s="5"/>
      <x:c r="C227" s="5"/>
      <x:c r="D227" s="5" t="s">
        <x:v>1084</x:v>
      </x:c>
      <x:c r="E227" s="5">
        <x:v>3</x:v>
      </x:c>
    </x:row>
    <x:row r="228">
      <x:c r="A228" s="5"/>
      <x:c r="B228" s="5"/>
      <x:c r="C228" s="5"/>
      <x:c r="D228" s="5" t="s">
        <x:v>1085</x:v>
      </x:c>
      <x:c r="E228" s="5">
        <x:v>3</x:v>
      </x:c>
    </x:row>
    <x:row r="229">
      <x:c r="A229" s="5"/>
      <x:c r="B229" s="5"/>
      <x:c r="C229" s="5"/>
      <x:c r="D229" s="5" t="s">
        <x:v>1086</x:v>
      </x:c>
      <x:c r="E229" s="5">
        <x:v>3</x:v>
      </x:c>
    </x:row>
    <x:row r="230">
      <x:c r="A230" s="5"/>
      <x:c r="B230" s="5"/>
      <x:c r="C230" s="5"/>
      <x:c r="D230" s="5" t="s">
        <x:v>1087</x:v>
      </x:c>
      <x:c r="E230" s="5">
        <x:v>3</x:v>
      </x:c>
    </x:row>
    <x:row r="231">
      <x:c r="A231" s="5"/>
      <x:c r="B231" s="5"/>
      <x:c r="C231" s="5"/>
      <x:c r="D231" s="5" t="s">
        <x:v>1088</x:v>
      </x:c>
      <x:c r="E231" s="5">
        <x:v>3</x:v>
      </x:c>
    </x:row>
    <x:row r="232">
      <x:c r="A232" s="5"/>
      <x:c r="B232" s="5"/>
      <x:c r="C232" s="5"/>
      <x:c r="D232" s="5" t="s">
        <x:v>797</x:v>
      </x:c>
      <x:c r="E232" s="5">
        <x:v>3</x:v>
      </x:c>
    </x:row>
    <x:row r="233">
      <x:c r="A233" s="5"/>
      <x:c r="B233" s="5"/>
      <x:c r="C233" s="5"/>
      <x:c r="D233" s="5" t="s">
        <x:v>1089</x:v>
      </x:c>
      <x:c r="E233" s="5">
        <x:v>3</x:v>
      </x:c>
    </x:row>
    <x:row r="234">
      <x:c r="A234" s="5"/>
      <x:c r="B234" s="5"/>
      <x:c r="C234" s="5"/>
      <x:c r="D234" s="5" t="s">
        <x:v>1090</x:v>
      </x:c>
      <x:c r="E234" s="5">
        <x:v>3</x:v>
      </x:c>
    </x:row>
    <x:row r="235">
      <x:c r="A235" s="5"/>
      <x:c r="B235" s="5"/>
      <x:c r="C235" s="5"/>
      <x:c r="D235" s="5" t="s">
        <x:v>1091</x:v>
      </x:c>
      <x:c r="E235" s="5">
        <x:v>3</x:v>
      </x:c>
    </x:row>
    <x:row r="236">
      <x:c r="A236" s="5"/>
      <x:c r="B236" s="5"/>
      <x:c r="C236" s="5"/>
      <x:c r="D236" s="5" t="s">
        <x:v>1092</x:v>
      </x:c>
      <x:c r="E236" s="5">
        <x:v>3</x:v>
      </x:c>
    </x:row>
    <x:row r="237">
      <x:c r="A237" s="5"/>
      <x:c r="B237" s="5"/>
      <x:c r="C237" s="5"/>
      <x:c r="D237" s="5" t="s">
        <x:v>1093</x:v>
      </x:c>
      <x:c r="E237" s="5">
        <x:v>3</x:v>
      </x:c>
    </x:row>
    <x:row r="238">
      <x:c r="A238" s="5"/>
      <x:c r="B238" s="5"/>
      <x:c r="C238" s="5"/>
      <x:c r="D238" s="5" t="s">
        <x:v>1094</x:v>
      </x:c>
      <x:c r="E238" s="5">
        <x:v>3</x:v>
      </x:c>
    </x:row>
    <x:row r="239">
      <x:c r="A239" s="5"/>
      <x:c r="B239" s="5"/>
      <x:c r="C239" s="5"/>
      <x:c r="D239" s="5" t="s">
        <x:v>1095</x:v>
      </x:c>
      <x:c r="E239" s="5">
        <x:v>3</x:v>
      </x:c>
    </x:row>
    <x:row r="240">
      <x:c r="A240" s="5"/>
      <x:c r="B240" s="5"/>
      <x:c r="C240" s="5"/>
      <x:c r="D240" s="5" t="s">
        <x:v>1096</x:v>
      </x:c>
      <x:c r="E240" s="5">
        <x:v>3</x:v>
      </x:c>
    </x:row>
    <x:row r="241">
      <x:c r="A241" s="5"/>
      <x:c r="B241" s="5"/>
      <x:c r="C241" s="5"/>
      <x:c r="D241" s="5" t="s">
        <x:v>1097</x:v>
      </x:c>
      <x:c r="E241" s="5">
        <x:v>3</x:v>
      </x:c>
    </x:row>
    <x:row r="242">
      <x:c r="A242" s="5"/>
      <x:c r="B242" s="5"/>
      <x:c r="C242" s="5"/>
      <x:c r="D242" s="5" t="s">
        <x:v>1098</x:v>
      </x:c>
      <x:c r="E242" s="5">
        <x:v>2</x:v>
      </x:c>
    </x:row>
    <x:row r="243">
      <x:c r="A243" s="5"/>
      <x:c r="B243" s="5"/>
      <x:c r="C243" s="5"/>
      <x:c r="D243" s="5" t="s">
        <x:v>1099</x:v>
      </x:c>
      <x:c r="E243" s="5">
        <x:v>2</x:v>
      </x:c>
    </x:row>
    <x:row r="244">
      <x:c r="A244" s="5"/>
      <x:c r="B244" s="5"/>
      <x:c r="C244" s="5"/>
      <x:c r="D244" s="5" t="s">
        <x:v>1100</x:v>
      </x:c>
      <x:c r="E244" s="5">
        <x:v>2</x:v>
      </x:c>
    </x:row>
    <x:row r="245">
      <x:c r="A245" s="5"/>
      <x:c r="B245" s="5"/>
      <x:c r="C245" s="5"/>
      <x:c r="D245" s="5" t="s">
        <x:v>1101</x:v>
      </x:c>
      <x:c r="E245" s="5">
        <x:v>2</x:v>
      </x:c>
    </x:row>
    <x:row r="246">
      <x:c r="A246" s="5"/>
      <x:c r="B246" s="5"/>
      <x:c r="C246" s="5"/>
      <x:c r="D246" s="5" t="s">
        <x:v>1102</x:v>
      </x:c>
      <x:c r="E246" s="5">
        <x:v>2</x:v>
      </x:c>
    </x:row>
    <x:row r="247">
      <x:c r="A247" s="5"/>
      <x:c r="B247" s="5"/>
      <x:c r="C247" s="5"/>
      <x:c r="D247" s="5" t="s">
        <x:v>801</x:v>
      </x:c>
      <x:c r="E247" s="5">
        <x:v>2</x:v>
      </x:c>
    </x:row>
    <x:row r="248">
      <x:c r="A248" s="5"/>
      <x:c r="B248" s="5"/>
      <x:c r="C248" s="5"/>
      <x:c r="D248" s="5" t="s">
        <x:v>1103</x:v>
      </x:c>
      <x:c r="E248" s="5">
        <x:v>2</x:v>
      </x:c>
    </x:row>
    <x:row r="249">
      <x:c r="A249" s="5"/>
      <x:c r="B249" s="5"/>
      <x:c r="C249" s="5"/>
      <x:c r="D249" s="5" t="s">
        <x:v>1104</x:v>
      </x:c>
      <x:c r="E249" s="5">
        <x:v>2</x:v>
      </x:c>
    </x:row>
    <x:row r="250">
      <x:c r="A250" s="5"/>
      <x:c r="B250" s="5"/>
      <x:c r="C250" s="5"/>
      <x:c r="D250" s="5" t="s">
        <x:v>1105</x:v>
      </x:c>
      <x:c r="E250" s="5">
        <x:v>2</x:v>
      </x:c>
    </x:row>
    <x:row r="251">
      <x:c r="A251" s="5"/>
      <x:c r="B251" s="5"/>
      <x:c r="C251" s="5"/>
      <x:c r="D251" s="5" t="s">
        <x:v>1106</x:v>
      </x:c>
      <x:c r="E251" s="5">
        <x:v>2</x:v>
      </x:c>
    </x:row>
    <x:row r="252">
      <x:c r="A252" s="5"/>
      <x:c r="B252" s="5"/>
      <x:c r="C252" s="5"/>
      <x:c r="D252" s="5" t="s">
        <x:v>1107</x:v>
      </x:c>
      <x:c r="E252" s="5">
        <x:v>2</x:v>
      </x:c>
    </x:row>
    <x:row r="253">
      <x:c r="A253" s="5"/>
      <x:c r="B253" s="5"/>
      <x:c r="C253" s="5"/>
      <x:c r="D253" s="5" t="s">
        <x:v>1108</x:v>
      </x:c>
      <x:c r="E253" s="5">
        <x:v>2</x:v>
      </x:c>
    </x:row>
    <x:row r="254">
      <x:c r="A254" s="6"/>
      <x:c r="B254" s="6"/>
      <x:c r="C254" s="6"/>
      <x:c r="D254" s="6" t="s">
        <x:v>1109</x:v>
      </x:c>
      <x:c r="E254" s="6">
        <x:v>2</x:v>
      </x:c>
    </x:row>
    <x:row r="257" ht="30" customHeight="1">
      <x:c r="A257" s="1" t="s">
        <x:v>1110</x:v>
      </x:c>
      <x:c r="B257" s="3" t="s">
        <x:v>7</x:v>
      </x:c>
    </x:row>
    <x:row r="258">
      <x:c r="A258" s="4" t="s">
        <x:v>77</x:v>
      </x:c>
      <x:c r="B258" s="4">
        <x:v>4</x:v>
      </x:c>
    </x:row>
    <x:row r="259">
      <x:c r="A259" s="5" t="s">
        <x:v>1111</x:v>
      </x:c>
      <x:c r="B259" s="5">
        <x:v>3</x:v>
      </x:c>
    </x:row>
    <x:row r="260">
      <x:c r="A260" s="5" t="s">
        <x:v>1112</x:v>
      </x:c>
      <x:c r="B260" s="5">
        <x:v>3</x:v>
      </x:c>
    </x:row>
    <x:row r="261">
      <x:c r="A261" s="5" t="s">
        <x:v>1113</x:v>
      </x:c>
      <x:c r="B261" s="5">
        <x:v>3</x:v>
      </x:c>
    </x:row>
    <x:row r="262">
      <x:c r="A262" s="5" t="s">
        <x:v>1114</x:v>
      </x:c>
      <x:c r="B262" s="5">
        <x:v>2</x:v>
      </x:c>
    </x:row>
    <x:row r="263">
      <x:c r="A263" s="5" t="s">
        <x:v>1115</x:v>
      </x:c>
      <x:c r="B263" s="5">
        <x:v>2</x:v>
      </x:c>
    </x:row>
    <x:row r="264">
      <x:c r="A264" s="5" t="s">
        <x:v>1116</x:v>
      </x:c>
      <x:c r="B264" s="5">
        <x:v>2</x:v>
      </x:c>
    </x:row>
    <x:row r="265">
      <x:c r="A265" s="5" t="s">
        <x:v>1117</x:v>
      </x:c>
      <x:c r="B265" s="5">
        <x:v>2</x:v>
      </x:c>
    </x:row>
    <x:row r="266">
      <x:c r="A266" s="5" t="s">
        <x:v>1118</x:v>
      </x:c>
      <x:c r="B266" s="5">
        <x:v>2</x:v>
      </x:c>
    </x:row>
    <x:row r="267">
      <x:c r="A267" s="5" t="s">
        <x:v>1119</x:v>
      </x:c>
      <x:c r="B267" s="5">
        <x:v>2</x:v>
      </x:c>
    </x:row>
    <x:row r="268">
      <x:c r="A268" s="5" t="s">
        <x:v>1120</x:v>
      </x:c>
      <x:c r="B268" s="5">
        <x:v>2</x:v>
      </x:c>
    </x:row>
    <x:row r="269">
      <x:c r="A269" s="5" t="s">
        <x:v>1121</x:v>
      </x:c>
      <x:c r="B269" s="5">
        <x:v>2</x:v>
      </x:c>
    </x:row>
    <x:row r="270">
      <x:c r="A270" s="5" t="s">
        <x:v>1122</x:v>
      </x:c>
      <x:c r="B270" s="5">
        <x:v>2</x:v>
      </x:c>
    </x:row>
    <x:row r="271">
      <x:c r="A271" s="5" t="s">
        <x:v>1123</x:v>
      </x:c>
      <x:c r="B271" s="5">
        <x:v>2</x:v>
      </x:c>
    </x:row>
    <x:row r="272">
      <x:c r="A272" s="5" t="s">
        <x:v>1124</x:v>
      </x:c>
      <x:c r="B272" s="5">
        <x:v>2</x:v>
      </x:c>
    </x:row>
    <x:row r="273">
      <x:c r="A273" s="5" t="s">
        <x:v>1125</x:v>
      </x:c>
      <x:c r="B273" s="5">
        <x:v>2</x:v>
      </x:c>
    </x:row>
    <x:row r="274">
      <x:c r="A274" s="5" t="s">
        <x:v>1126</x:v>
      </x:c>
      <x:c r="B274" s="5">
        <x:v>2</x:v>
      </x:c>
    </x:row>
    <x:row r="275">
      <x:c r="A275" s="5" t="s">
        <x:v>1127</x:v>
      </x:c>
      <x:c r="B275" s="5">
        <x:v>2</x:v>
      </x:c>
    </x:row>
    <x:row r="276">
      <x:c r="A276" s="5" t="s">
        <x:v>1128</x:v>
      </x:c>
      <x:c r="B276" s="5">
        <x:v>2</x:v>
      </x:c>
    </x:row>
    <x:row r="277">
      <x:c r="A277" s="5" t="s">
        <x:v>1129</x:v>
      </x:c>
      <x:c r="B277" s="5">
        <x:v>2</x:v>
      </x:c>
    </x:row>
    <x:row r="278">
      <x:c r="A278" s="5" t="s">
        <x:v>1130</x:v>
      </x:c>
      <x:c r="B278" s="5">
        <x:v>2</x:v>
      </x:c>
    </x:row>
    <x:row r="279">
      <x:c r="A279" s="5" t="s">
        <x:v>1131</x:v>
      </x:c>
      <x:c r="B279" s="5">
        <x:v>2</x:v>
      </x:c>
    </x:row>
    <x:row r="280">
      <x:c r="A280" s="5" t="s">
        <x:v>1132</x:v>
      </x:c>
      <x:c r="B280" s="5">
        <x:v>2</x:v>
      </x:c>
    </x:row>
    <x:row r="281">
      <x:c r="A281" s="5" t="s">
        <x:v>1133</x:v>
      </x:c>
      <x:c r="B281" s="5">
        <x:v>2</x:v>
      </x:c>
    </x:row>
    <x:row r="282">
      <x:c r="A282" s="5" t="s">
        <x:v>1134</x:v>
      </x:c>
      <x:c r="B282" s="5">
        <x:v>2</x:v>
      </x:c>
    </x:row>
    <x:row r="283">
      <x:c r="A283" s="5" t="s">
        <x:v>1135</x:v>
      </x:c>
      <x:c r="B283" s="5">
        <x:v>2</x:v>
      </x:c>
    </x:row>
    <x:row r="284">
      <x:c r="A284" s="5" t="s">
        <x:v>1136</x:v>
      </x:c>
      <x:c r="B284" s="5">
        <x:v>2</x:v>
      </x:c>
    </x:row>
    <x:row r="285">
      <x:c r="A285" s="5" t="s">
        <x:v>1137</x:v>
      </x:c>
      <x:c r="B285" s="5">
        <x:v>2</x:v>
      </x:c>
    </x:row>
    <x:row r="286">
      <x:c r="A286" s="5" t="s">
        <x:v>1138</x:v>
      </x:c>
      <x:c r="B286" s="5">
        <x:v>1</x:v>
      </x:c>
    </x:row>
    <x:row r="287">
      <x:c r="A287" s="5" t="s">
        <x:v>1139</x:v>
      </x:c>
      <x:c r="B287" s="5">
        <x:v>1</x:v>
      </x:c>
    </x:row>
    <x:row r="288">
      <x:c r="A288" s="5" t="s">
        <x:v>1140</x:v>
      </x:c>
      <x:c r="B288" s="5">
        <x:v>1</x:v>
      </x:c>
    </x:row>
    <x:row r="289">
      <x:c r="A289" s="5" t="s">
        <x:v>1141</x:v>
      </x:c>
      <x:c r="B289" s="5">
        <x:v>1</x:v>
      </x:c>
    </x:row>
    <x:row r="290">
      <x:c r="A290" s="5" t="s">
        <x:v>1142</x:v>
      </x:c>
      <x:c r="B290" s="5">
        <x:v>1</x:v>
      </x:c>
    </x:row>
    <x:row r="291">
      <x:c r="A291" s="5" t="s">
        <x:v>1143</x:v>
      </x:c>
      <x:c r="B291" s="5">
        <x:v>1</x:v>
      </x:c>
    </x:row>
    <x:row r="292">
      <x:c r="A292" s="5" t="s">
        <x:v>1144</x:v>
      </x:c>
      <x:c r="B292" s="5">
        <x:v>1</x:v>
      </x:c>
    </x:row>
    <x:row r="293">
      <x:c r="A293" s="5" t="s">
        <x:v>1145</x:v>
      </x:c>
      <x:c r="B293" s="5">
        <x:v>1</x:v>
      </x:c>
    </x:row>
    <x:row r="294">
      <x:c r="A294" s="5" t="s">
        <x:v>1146</x:v>
      </x:c>
      <x:c r="B294" s="5">
        <x:v>1</x:v>
      </x:c>
    </x:row>
    <x:row r="295">
      <x:c r="A295" s="5" t="s">
        <x:v>1147</x:v>
      </x:c>
      <x:c r="B295" s="5">
        <x:v>1</x:v>
      </x:c>
    </x:row>
    <x:row r="296">
      <x:c r="A296" s="5" t="s">
        <x:v>1148</x:v>
      </x:c>
      <x:c r="B296" s="5">
        <x:v>1</x:v>
      </x:c>
    </x:row>
    <x:row r="297">
      <x:c r="A297" s="5" t="s">
        <x:v>1149</x:v>
      </x:c>
      <x:c r="B297" s="5">
        <x:v>1</x:v>
      </x:c>
    </x:row>
    <x:row r="298">
      <x:c r="A298" s="5" t="s">
        <x:v>1150</x:v>
      </x:c>
      <x:c r="B298" s="5">
        <x:v>1</x:v>
      </x:c>
    </x:row>
    <x:row r="299">
      <x:c r="A299" s="5" t="s">
        <x:v>1151</x:v>
      </x:c>
      <x:c r="B299" s="5">
        <x:v>1</x:v>
      </x:c>
    </x:row>
    <x:row r="300">
      <x:c r="A300" s="5" t="s">
        <x:v>1152</x:v>
      </x:c>
      <x:c r="B300" s="5">
        <x:v>1</x:v>
      </x:c>
    </x:row>
    <x:row r="301">
      <x:c r="A301" s="5" t="s">
        <x:v>1153</x:v>
      </x:c>
      <x:c r="B301" s="5">
        <x:v>1</x:v>
      </x:c>
    </x:row>
    <x:row r="302">
      <x:c r="A302" s="5" t="s">
        <x:v>1154</x:v>
      </x:c>
      <x:c r="B302" s="5">
        <x:v>1</x:v>
      </x:c>
    </x:row>
    <x:row r="303">
      <x:c r="A303" s="5" t="s">
        <x:v>1155</x:v>
      </x:c>
      <x:c r="B303" s="5">
        <x:v>1</x:v>
      </x:c>
    </x:row>
    <x:row r="304">
      <x:c r="A304" s="5" t="s">
        <x:v>1156</x:v>
      </x:c>
      <x:c r="B304" s="5">
        <x:v>1</x:v>
      </x:c>
    </x:row>
    <x:row r="305">
      <x:c r="A305" s="5" t="s">
        <x:v>1157</x:v>
      </x:c>
      <x:c r="B305" s="5">
        <x:v>1</x:v>
      </x:c>
    </x:row>
    <x:row r="306">
      <x:c r="A306" s="5" t="s">
        <x:v>1158</x:v>
      </x:c>
      <x:c r="B306" s="5">
        <x:v>1</x:v>
      </x:c>
    </x:row>
    <x:row r="307">
      <x:c r="A307" s="5" t="s">
        <x:v>1159</x:v>
      </x:c>
      <x:c r="B307" s="5">
        <x:v>1</x:v>
      </x:c>
    </x:row>
    <x:row r="308">
      <x:c r="A308" s="5" t="s">
        <x:v>1160</x:v>
      </x:c>
      <x:c r="B308" s="5">
        <x:v>1</x:v>
      </x:c>
    </x:row>
    <x:row r="309">
      <x:c r="A309" s="5" t="s">
        <x:v>1161</x:v>
      </x:c>
      <x:c r="B309" s="5">
        <x:v>1</x:v>
      </x:c>
    </x:row>
    <x:row r="310">
      <x:c r="A310" s="5" t="s">
        <x:v>1162</x:v>
      </x:c>
      <x:c r="B310" s="5">
        <x:v>1</x:v>
      </x:c>
    </x:row>
    <x:row r="311">
      <x:c r="A311" s="5" t="s">
        <x:v>1163</x:v>
      </x:c>
      <x:c r="B311" s="5">
        <x:v>1</x:v>
      </x:c>
    </x:row>
    <x:row r="312">
      <x:c r="A312" s="5" t="s">
        <x:v>1164</x:v>
      </x:c>
      <x:c r="B312" s="5">
        <x:v>1</x:v>
      </x:c>
    </x:row>
    <x:row r="313">
      <x:c r="A313" s="5" t="s">
        <x:v>1165</x:v>
      </x:c>
      <x:c r="B313" s="5">
        <x:v>1</x:v>
      </x:c>
    </x:row>
    <x:row r="314">
      <x:c r="A314" s="5" t="s">
        <x:v>1166</x:v>
      </x:c>
      <x:c r="B314" s="5">
        <x:v>1</x:v>
      </x:c>
    </x:row>
    <x:row r="315">
      <x:c r="A315" s="5" t="s">
        <x:v>1167</x:v>
      </x:c>
      <x:c r="B315" s="5">
        <x:v>1</x:v>
      </x:c>
    </x:row>
    <x:row r="316">
      <x:c r="A316" s="5" t="s">
        <x:v>1168</x:v>
      </x:c>
      <x:c r="B316" s="5">
        <x:v>1</x:v>
      </x:c>
    </x:row>
    <x:row r="317">
      <x:c r="A317" s="5" t="s">
        <x:v>1169</x:v>
      </x:c>
      <x:c r="B317" s="5">
        <x:v>1</x:v>
      </x:c>
    </x:row>
    <x:row r="318">
      <x:c r="A318" s="5" t="s">
        <x:v>1170</x:v>
      </x:c>
      <x:c r="B318" s="5">
        <x:v>1</x:v>
      </x:c>
    </x:row>
    <x:row r="319">
      <x:c r="A319" s="5" t="s">
        <x:v>1171</x:v>
      </x:c>
      <x:c r="B319" s="5">
        <x:v>1</x:v>
      </x:c>
    </x:row>
    <x:row r="320">
      <x:c r="A320" s="5" t="s">
        <x:v>1172</x:v>
      </x:c>
      <x:c r="B320" s="5">
        <x:v>1</x:v>
      </x:c>
    </x:row>
    <x:row r="321">
      <x:c r="A321" s="5" t="s">
        <x:v>1173</x:v>
      </x:c>
      <x:c r="B321" s="5">
        <x:v>1</x:v>
      </x:c>
    </x:row>
    <x:row r="322">
      <x:c r="A322" s="5" t="s">
        <x:v>1174</x:v>
      </x:c>
      <x:c r="B322" s="5">
        <x:v>1</x:v>
      </x:c>
    </x:row>
    <x:row r="323">
      <x:c r="A323" s="5" t="s">
        <x:v>1175</x:v>
      </x:c>
      <x:c r="B323" s="5">
        <x:v>1</x:v>
      </x:c>
    </x:row>
    <x:row r="324">
      <x:c r="A324" s="5" t="s">
        <x:v>1176</x:v>
      </x:c>
      <x:c r="B324" s="5">
        <x:v>1</x:v>
      </x:c>
    </x:row>
    <x:row r="325">
      <x:c r="A325" s="5" t="s">
        <x:v>1177</x:v>
      </x:c>
      <x:c r="B325" s="5">
        <x:v>1</x:v>
      </x:c>
    </x:row>
    <x:row r="326">
      <x:c r="A326" s="5" t="s">
        <x:v>1178</x:v>
      </x:c>
      <x:c r="B326" s="5">
        <x:v>1</x:v>
      </x:c>
    </x:row>
    <x:row r="327">
      <x:c r="A327" s="5" t="s">
        <x:v>1179</x:v>
      </x:c>
      <x:c r="B327" s="5">
        <x:v>1</x:v>
      </x:c>
    </x:row>
    <x:row r="328">
      <x:c r="A328" s="5" t="s">
        <x:v>1180</x:v>
      </x:c>
      <x:c r="B328" s="5">
        <x:v>1</x:v>
      </x:c>
    </x:row>
    <x:row r="329">
      <x:c r="A329" s="5" t="s">
        <x:v>1181</x:v>
      </x:c>
      <x:c r="B329" s="5">
        <x:v>1</x:v>
      </x:c>
    </x:row>
    <x:row r="330">
      <x:c r="A330" s="5" t="s">
        <x:v>1182</x:v>
      </x:c>
      <x:c r="B330" s="5">
        <x:v>1</x:v>
      </x:c>
    </x:row>
    <x:row r="331">
      <x:c r="A331" s="5" t="s">
        <x:v>1183</x:v>
      </x:c>
      <x:c r="B331" s="5">
        <x:v>1</x:v>
      </x:c>
    </x:row>
    <x:row r="332">
      <x:c r="A332" s="5" t="s">
        <x:v>1184</x:v>
      </x:c>
      <x:c r="B332" s="5">
        <x:v>1</x:v>
      </x:c>
    </x:row>
    <x:row r="333">
      <x:c r="A333" s="5" t="s">
        <x:v>1185</x:v>
      </x:c>
      <x:c r="B333" s="5">
        <x:v>1</x:v>
      </x:c>
    </x:row>
    <x:row r="334">
      <x:c r="A334" s="5" t="s">
        <x:v>1186</x:v>
      </x:c>
      <x:c r="B334" s="5">
        <x:v>1</x:v>
      </x:c>
    </x:row>
    <x:row r="335">
      <x:c r="A335" s="5" t="s">
        <x:v>1187</x:v>
      </x:c>
      <x:c r="B335" s="5">
        <x:v>1</x:v>
      </x:c>
    </x:row>
    <x:row r="336">
      <x:c r="A336" s="5" t="s">
        <x:v>1188</x:v>
      </x:c>
      <x:c r="B336" s="5">
        <x:v>1</x:v>
      </x:c>
    </x:row>
    <x:row r="337">
      <x:c r="A337" s="5" t="s">
        <x:v>1189</x:v>
      </x:c>
      <x:c r="B337" s="5">
        <x:v>1</x:v>
      </x:c>
    </x:row>
    <x:row r="338">
      <x:c r="A338" s="5" t="s">
        <x:v>1190</x:v>
      </x:c>
      <x:c r="B338" s="5">
        <x:v>1</x:v>
      </x:c>
    </x:row>
    <x:row r="339">
      <x:c r="A339" s="5" t="s">
        <x:v>1191</x:v>
      </x:c>
      <x:c r="B339" s="5">
        <x:v>1</x:v>
      </x:c>
    </x:row>
    <x:row r="340">
      <x:c r="A340" s="5" t="s">
        <x:v>1192</x:v>
      </x:c>
      <x:c r="B340" s="5">
        <x:v>1</x:v>
      </x:c>
    </x:row>
    <x:row r="341">
      <x:c r="A341" s="5" t="s">
        <x:v>1193</x:v>
      </x:c>
      <x:c r="B341" s="5">
        <x:v>1</x:v>
      </x:c>
    </x:row>
    <x:row r="342">
      <x:c r="A342" s="5" t="s">
        <x:v>1194</x:v>
      </x:c>
      <x:c r="B342" s="5">
        <x:v>1</x:v>
      </x:c>
    </x:row>
    <x:row r="343">
      <x:c r="A343" s="5" t="s">
        <x:v>1195</x:v>
      </x:c>
      <x:c r="B343" s="5">
        <x:v>1</x:v>
      </x:c>
    </x:row>
    <x:row r="344">
      <x:c r="A344" s="5" t="s">
        <x:v>1196</x:v>
      </x:c>
      <x:c r="B344" s="5">
        <x:v>1</x:v>
      </x:c>
    </x:row>
    <x:row r="345">
      <x:c r="A345" s="5" t="s">
        <x:v>1197</x:v>
      </x:c>
      <x:c r="B345" s="5">
        <x:v>1</x:v>
      </x:c>
    </x:row>
    <x:row r="346">
      <x:c r="A346" s="5" t="s">
        <x:v>1198</x:v>
      </x:c>
      <x:c r="B346" s="5">
        <x:v>1</x:v>
      </x:c>
    </x:row>
    <x:row r="347">
      <x:c r="A347" s="5" t="s">
        <x:v>1199</x:v>
      </x:c>
      <x:c r="B347" s="5">
        <x:v>1</x:v>
      </x:c>
    </x:row>
    <x:row r="348">
      <x:c r="A348" s="5" t="s">
        <x:v>1200</x:v>
      </x:c>
      <x:c r="B348" s="5">
        <x:v>1</x:v>
      </x:c>
    </x:row>
    <x:row r="349">
      <x:c r="A349" s="5" t="s">
        <x:v>1201</x:v>
      </x:c>
      <x:c r="B349" s="5">
        <x:v>1</x:v>
      </x:c>
    </x:row>
    <x:row r="350">
      <x:c r="A350" s="5" t="s">
        <x:v>1202</x:v>
      </x:c>
      <x:c r="B350" s="5">
        <x:v>1</x:v>
      </x:c>
    </x:row>
    <x:row r="351">
      <x:c r="A351" s="5" t="s">
        <x:v>1203</x:v>
      </x:c>
      <x:c r="B351" s="5">
        <x:v>1</x:v>
      </x:c>
    </x:row>
    <x:row r="352">
      <x:c r="A352" s="5" t="s">
        <x:v>1204</x:v>
      </x:c>
      <x:c r="B352" s="5">
        <x:v>1</x:v>
      </x:c>
    </x:row>
    <x:row r="353">
      <x:c r="A353" s="5" t="s">
        <x:v>1205</x:v>
      </x:c>
      <x:c r="B353" s="5">
        <x:v>1</x:v>
      </x:c>
    </x:row>
    <x:row r="354">
      <x:c r="A354" s="5" t="s">
        <x:v>1206</x:v>
      </x:c>
      <x:c r="B354" s="5">
        <x:v>1</x:v>
      </x:c>
    </x:row>
    <x:row r="355">
      <x:c r="A355" s="5" t="s">
        <x:v>1207</x:v>
      </x:c>
      <x:c r="B355" s="5">
        <x:v>1</x:v>
      </x:c>
    </x:row>
    <x:row r="356">
      <x:c r="A356" s="5" t="s">
        <x:v>1208</x:v>
      </x:c>
      <x:c r="B356" s="5">
        <x:v>1</x:v>
      </x:c>
    </x:row>
    <x:row r="357">
      <x:c r="A357" s="5" t="s">
        <x:v>1209</x:v>
      </x:c>
      <x:c r="B357" s="5">
        <x:v>1</x:v>
      </x:c>
    </x:row>
    <x:row r="358">
      <x:c r="A358" s="5" t="s">
        <x:v>1210</x:v>
      </x:c>
      <x:c r="B358" s="5">
        <x:v>1</x:v>
      </x:c>
    </x:row>
    <x:row r="359">
      <x:c r="A359" s="5" t="s">
        <x:v>1211</x:v>
      </x:c>
      <x:c r="B359" s="5">
        <x:v>1</x:v>
      </x:c>
    </x:row>
    <x:row r="360">
      <x:c r="A360" s="5" t="s">
        <x:v>1212</x:v>
      </x:c>
      <x:c r="B360" s="5">
        <x:v>1</x:v>
      </x:c>
    </x:row>
    <x:row r="361">
      <x:c r="A361" s="5" t="s">
        <x:v>1213</x:v>
      </x:c>
      <x:c r="B361" s="5">
        <x:v>1</x:v>
      </x:c>
    </x:row>
    <x:row r="362">
      <x:c r="A362" s="5" t="s">
        <x:v>1214</x:v>
      </x:c>
      <x:c r="B362" s="5">
        <x:v>1</x:v>
      </x:c>
    </x:row>
    <x:row r="363">
      <x:c r="A363" s="5" t="s">
        <x:v>1215</x:v>
      </x:c>
      <x:c r="B363" s="5">
        <x:v>1</x:v>
      </x:c>
    </x:row>
    <x:row r="364">
      <x:c r="A364" s="5" t="s">
        <x:v>1216</x:v>
      </x:c>
      <x:c r="B364" s="5">
        <x:v>1</x:v>
      </x:c>
    </x:row>
    <x:row r="365">
      <x:c r="A365" s="5" t="s">
        <x:v>1217</x:v>
      </x:c>
      <x:c r="B365" s="5">
        <x:v>1</x:v>
      </x:c>
    </x:row>
    <x:row r="366">
      <x:c r="A366" s="5" t="s">
        <x:v>1218</x:v>
      </x:c>
      <x:c r="B366" s="5">
        <x:v>1</x:v>
      </x:c>
    </x:row>
    <x:row r="367">
      <x:c r="A367" s="5" t="s">
        <x:v>1219</x:v>
      </x:c>
      <x:c r="B367" s="5">
        <x:v>1</x:v>
      </x:c>
    </x:row>
    <x:row r="368">
      <x:c r="A368" s="5" t="s">
        <x:v>1220</x:v>
      </x:c>
      <x:c r="B368" s="5">
        <x:v>1</x:v>
      </x:c>
    </x:row>
    <x:row r="369">
      <x:c r="A369" s="5" t="s">
        <x:v>1221</x:v>
      </x:c>
      <x:c r="B369" s="5">
        <x:v>1</x:v>
      </x:c>
    </x:row>
    <x:row r="370">
      <x:c r="A370" s="5" t="s">
        <x:v>1222</x:v>
      </x:c>
      <x:c r="B370" s="5">
        <x:v>1</x:v>
      </x:c>
    </x:row>
    <x:row r="371">
      <x:c r="A371" s="5" t="s">
        <x:v>1223</x:v>
      </x:c>
      <x:c r="B371" s="5">
        <x:v>1</x:v>
      </x:c>
    </x:row>
    <x:row r="372">
      <x:c r="A372" s="5" t="s">
        <x:v>1224</x:v>
      </x:c>
      <x:c r="B372" s="5">
        <x:v>1</x:v>
      </x:c>
    </x:row>
    <x:row r="373">
      <x:c r="A373" s="5" t="s">
        <x:v>1225</x:v>
      </x:c>
      <x:c r="B373" s="5">
        <x:v>1</x:v>
      </x:c>
    </x:row>
    <x:row r="374">
      <x:c r="A374" s="5" t="s">
        <x:v>1226</x:v>
      </x:c>
      <x:c r="B374" s="5">
        <x:v>1</x:v>
      </x:c>
    </x:row>
    <x:row r="375">
      <x:c r="A375" s="5" t="s">
        <x:v>1227</x:v>
      </x:c>
      <x:c r="B375" s="5">
        <x:v>1</x:v>
      </x:c>
    </x:row>
    <x:row r="376">
      <x:c r="A376" s="5" t="s">
        <x:v>1228</x:v>
      </x:c>
      <x:c r="B376" s="5">
        <x:v>1</x:v>
      </x:c>
    </x:row>
    <x:row r="377">
      <x:c r="A377" s="6" t="s">
        <x:v>1229</x:v>
      </x:c>
      <x:c r="B377" s="6">
        <x:v>1</x:v>
      </x:c>
    </x:row>
  </x:sheetData>
  <x:mergeCells>
    <x:mergeCell ref="A1:E1"/>
    <x:mergeCell ref="A2:E2"/>
  </x:mergeCells>
  <x:conditionalFormatting sqref="B5:B254">
    <x:cfRule type="dataBar" priority="1">
      <x:dataBar>
        <x:cfvo type="min"/>
        <x:cfvo type="max"/>
        <x:color rgb="FFC97C4D"/>
      </x:dataBar>
    </x:cfRule>
    <x:cfRule type="dataBar" priority="3">
      <x:dataBar>
        <x:cfvo type="min"/>
        <x:cfvo type="max"/>
        <x:color rgb="FFC97C4D"/>
      </x:dataBar>
    </x:cfRule>
    <x:cfRule type="dataBar" priority="5">
      <x:dataBar>
        <x:cfvo type="min"/>
        <x:cfvo type="max"/>
        <x:color rgb="FFC97C4D"/>
      </x:dataBar>
      <x:extLst>
        <x:ext xmlns:x14="http://schemas.microsoft.com/office/spreadsheetml/2009/9/main" uri="{B025F937-C7B1-47D3-B67F-A62EFF666E3E}">
          <x14:id>{1995C22F-72F8-4B65-AAE2-91C6CEDE68DF}</x14:id>
        </x:ext>
      </x:extLst>
    </x:cfRule>
  </x:conditionalFormatting>
  <x:conditionalFormatting sqref="E5:E254">
    <x:cfRule type="dataBar" priority="2">
      <x:dataBar>
        <x:cfvo type="min"/>
        <x:cfvo type="max"/>
        <x:color rgb="FF4E765C"/>
      </x:dataBar>
    </x:cfRule>
    <x:cfRule type="dataBar" priority="4">
      <x:dataBar>
        <x:cfvo type="min"/>
        <x:cfvo type="max"/>
        <x:color rgb="FF4E765C"/>
      </x:dataBar>
    </x:cfRule>
    <x:cfRule type="dataBar" priority="6">
      <x:dataBar>
        <x:cfvo type="min"/>
        <x:cfvo type="max"/>
        <x:color rgb="FF4E765C"/>
      </x:dataBar>
      <x:extLst>
        <x:ext xmlns:x14="http://schemas.microsoft.com/office/spreadsheetml/2009/9/main" uri="{B025F937-C7B1-47D3-B67F-A62EFF666E3E}">
          <x14:id>{1E147499-EBE8-50AC-7B8C-4FF1C52A259B}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995C22F-72F8-4B65-AAE2-91C6CEDE68DF}">
            <x14:dataBar>
              <x14:cfvo type="min"/>
              <x14:cfvo type="max"/>
              <x14:fillColor rgb="FFC97C4D"/>
              <x14:negativeFillColor auto="1"/>
              <x14:axisColor auto="1"/>
            </x14:dataBar>
          </x14:cfRule>
          <xm:sqref>B5:B254</xm:sqref>
        </x14:conditionalFormatting>
        <x14:conditionalFormatting>
          <x14:cfRule type="dataBar" priority="6" id="{1E147499-EBE8-50AC-7B8C-4FF1C52A259B}">
            <x14:dataBar>
              <x14:cfvo type="min"/>
              <x14:cfvo type="max"/>
              <x14:fillColor rgb="FF4E765C"/>
              <x14:negativeFillColor auto="1"/>
              <x14:axisColor auto="1"/>
            </x14:dataBar>
          </x14:cfRule>
          <xm:sqref>E5:E254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0" customWidth="1"/>
    <x:col min="2" max="3" width="44" customWidth="1"/>
    <x:col min="4" max="4" width="52" customWidth="1"/>
  </x:cols>
  <x:sheetData>
    <x:row r="1" ht="36" customHeight="1">
      <x:c r="A1" s="52" t="s">
        <x:v>1230</x:v>
      </x:c>
      <x:c r="B1" s="52"/>
      <x:c r="C1" s="52"/>
      <x:c r="D1" s="52"/>
    </x:row>
    <x:row r="3">
      <x:c r="A3" s="4" t="s">
        <x:v>1231</x:v>
      </x:c>
      <x:c r="B3" s="7" t="s">
        <x:v>1232</x:v>
      </x:c>
      <x:c r="C3" s="7"/>
      <x:c r="D3" s="7"/>
    </x:row>
    <x:row r="4">
      <x:c r="A4" s="5" t="s">
        <x:v>1233</x:v>
      </x:c>
      <x:c r="B4" s="8" t="s">
        <x:v>1234</x:v>
      </x:c>
      <x:c r="C4" s="8"/>
      <x:c r="D4" s="8"/>
    </x:row>
    <x:row r="5">
      <x:c r="A5" s="5" t="s">
        <x:v>1235</x:v>
      </x:c>
      <x:c r="B5" s="8" t="s">
        <x:v>1236</x:v>
      </x:c>
      <x:c r="C5" s="8"/>
      <x:c r="D5" s="8"/>
    </x:row>
    <x:row r="6">
      <x:c r="A6" s="5" t="s">
        <x:v>1237</x:v>
      </x:c>
      <x:c r="B6" s="8" t="s">
        <x:v>1238</x:v>
      </x:c>
      <x:c r="C6" s="8"/>
      <x:c r="D6" s="8"/>
    </x:row>
    <x:row r="7">
      <x:c r="A7" s="5"/>
      <x:c r="B7" s="8"/>
      <x:c r="C7" s="8"/>
      <x:c r="D7" s="8"/>
    </x:row>
    <x:row r="8">
      <x:c r="A8" s="16" t="s">
        <x:v>1239</x:v>
      </x:c>
      <x:c r="B8" s="17" t="s">
        <x:v>1240</x:v>
      </x:c>
      <x:c r="C8" s="17" t="s">
        <x:v>1241</x:v>
      </x:c>
      <x:c r="D8" s="17" t="s">
        <x:v>1242</x:v>
      </x:c>
    </x:row>
    <x:row r="9" ht="28">
      <x:c r="A9" s="5" t="s">
        <x:v>1243</x:v>
      </x:c>
      <x:c r="B9" s="8" t="s">
        <x:v>1244</x:v>
      </x:c>
      <x:c r="C9" s="8" t="s">
        <x:v>1245</x:v>
      </x:c>
      <x:c r="D9" s="8" t="s">
        <x:v>1246</x:v>
      </x:c>
    </x:row>
    <x:row r="10">
      <x:c r="A10" s="5" t="s">
        <x:v>1247</x:v>
      </x:c>
      <x:c r="B10" s="8" t="s">
        <x:v>1248</x:v>
      </x:c>
      <x:c r="C10" s="8" t="s">
        <x:v>1249</x:v>
      </x:c>
      <x:c r="D10" s="8" t="s">
        <x:v>1250</x:v>
      </x:c>
    </x:row>
    <x:row r="11" ht="28">
      <x:c r="A11" s="5" t="s">
        <x:v>1251</x:v>
      </x:c>
      <x:c r="B11" s="8" t="s">
        <x:v>1252</x:v>
      </x:c>
      <x:c r="C11" s="8" t="s">
        <x:v>1253</x:v>
      </x:c>
      <x:c r="D11" s="8" t="s">
        <x:v>1254</x:v>
      </x:c>
    </x:row>
    <x:row r="12" ht="28">
      <x:c r="A12" s="6" t="s">
        <x:v>1255</x:v>
      </x:c>
      <x:c r="B12" s="9" t="s">
        <x:v>1256</x:v>
      </x:c>
      <x:c r="C12" s="9" t="s">
        <x:v>1257</x:v>
      </x:c>
      <x:c r="D12" s="9" t="s">
        <x:v>1258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8" customWidth="1"/>
    <x:col min="3" max="3" width="38" customWidth="1"/>
    <x:col min="4" max="4" width="8" customWidth="1"/>
    <x:col min="5" max="5" width="16" customWidth="1"/>
    <x:col min="6" max="7" width="32" customWidth="1"/>
    <x:col min="8" max="8" width="20" customWidth="1"/>
    <x:col min="9" max="9" width="44" customWidth="1"/>
  </x:cols>
  <x:sheetData>
    <x:row r="1" ht="32" customHeight="1">
      <x:c r="A1" s="57" t="str">
        <x:v>Итоговый teg для миграции</x:v>
      </x:c>
      <x:c r="B1" s="57"/>
      <x:c r="C1" s="57"/>
      <x:c r="D1" s="57"/>
      <x:c r="E1" s="57"/>
      <x:c r="F1" s="57"/>
      <x:c r="G1" s="57"/>
      <x:c r="H1" s="57"/>
      <x:c r="I1" s="57"/>
    </x:row>
    <x:row r="2" ht="38" customHeight="1">
      <x:c r="A2" s="58" t="str">
        <x:v>Поле для базы называется teg. «Растяжка» и «Вытяжение» объединены с «Расслаблением»; регистр, названия и разделители приведены к единому виду. Все 101 практики имеют итоговый teg.</x:v>
      </x:c>
      <x:c r="B2" s="58"/>
      <x:c r="C2" s="58"/>
      <x:c r="D2" s="58"/>
      <x:c r="E2" s="58"/>
      <x:c r="F2" s="58"/>
      <x:c r="G2" s="58"/>
      <x:c r="H2" s="58"/>
      <x:c r="I2" s="58"/>
    </x:row>
    <x:row r="4">
      <x:c r="A4" s="59" t="s">
        <x:v>2</x:v>
      </x:c>
      <x:c r="B4" s="59"/>
      <x:c r="C4" s="59"/>
      <x:c r="D4" s="59" t="str">
        <x:v>С teg</x:v>
      </x:c>
      <x:c r="E4" s="59"/>
      <x:c r="F4" s="59"/>
      <x:c r="G4" s="59" t="str">
        <x:v>Без teg</x:v>
      </x:c>
      <x:c r="H4" s="59"/>
      <x:c r="I4" s="59"/>
    </x:row>
    <x:row r="5">
      <x:c r="A5" s="60" t="n">
        <x:f>COUNTA($A$9:$A$109)</x:f>
        <x:v>101</x:v>
      </x:c>
      <x:c r="B5" s="61"/>
      <x:c r="C5" s="62"/>
      <x:c r="D5" s="60" t="n">
        <x:f>COUNTA($F$9:$F$109)</x:f>
        <x:v>101</x:v>
      </x:c>
      <x:c r="E5" s="61"/>
      <x:c r="F5" s="62"/>
      <x:c r="G5" s="60" t="n">
        <x:f>A5-D5</x:f>
        <x:v>0</x:v>
      </x:c>
      <x:c r="H5" s="61"/>
      <x:c r="I5" s="62"/>
    </x:row>
    <x:row r="6">
      <x:c r="A6" s="63"/>
      <x:c r="B6" s="64"/>
      <x:c r="C6" s="65"/>
      <x:c r="D6" s="63"/>
      <x:c r="E6" s="64"/>
      <x:c r="F6" s="65"/>
      <x:c r="G6" s="63"/>
      <x:c r="H6" s="64"/>
      <x:c r="I6" s="65"/>
    </x:row>
    <x:row r="8" ht="34" customHeight="1">
      <x:c r="A8" s="27" t="s">
        <x:v>29</x:v>
      </x:c>
      <x:c r="B8" s="28" t="s">
        <x:v>30</x:v>
      </x:c>
      <x:c r="C8" s="28" t="s">
        <x:v>31</x:v>
      </x:c>
      <x:c r="D8" s="28" t="s">
        <x:v>32</x:v>
      </x:c>
      <x:c r="E8" s="28" t="s">
        <x:v>1259</x:v>
      </x:c>
      <x:c r="F8" s="28" t="str">
        <x:v>Итоговый teg</x:v>
      </x:c>
      <x:c r="G8" s="28" t="str">
        <x:v>Кандидаты teg</x:v>
      </x:c>
      <x:c r="H8" s="28" t="s">
        <x:v>1260</x:v>
      </x:c>
      <x:c r="I8" s="29" t="s">
        <x:v>9</x:v>
      </x:c>
    </x:row>
    <x:row r="9" ht="30" customHeight="1">
      <x:c r="A9" s="30" t="s">
        <x:v>41</x:v>
      </x:c>
      <x:c r="B9" s="30">
        <x:v>1</x:v>
      </x:c>
      <x:c r="C9" s="33" t="s">
        <x:v>42</x:v>
      </x:c>
      <x:c r="D9" s="33">
        <x:v>57</x:v>
      </x:c>
      <x:c r="E9" s="33" t="s">
        <x:v>49</x:v>
      </x:c>
      <x:c r="F9" s="33" t="str">
        <x:v>Расслабление; Кор и пресс; ТБС и шпагаты</x:v>
      </x:c>
      <x:c r="G9" s="33"/>
      <x:c r="H9" s="33" t="str">
        <x:v>Готово</x:v>
      </x:c>
      <x:c r="I9" s="33" t="s">
        <x:v>51</x:v>
      </x:c>
    </x:row>
    <x:row r="10" ht="30" customHeight="1">
      <x:c r="A10" s="31" t="s">
        <x:v>41</x:v>
      </x:c>
      <x:c r="B10" s="31">
        <x:v>2</x:v>
      </x:c>
      <x:c r="C10" s="34" t="s">
        <x:v>52</x:v>
      </x:c>
      <x:c r="D10" s="34">
        <x:v>18</x:v>
      </x:c>
      <x:c r="E10" s="34" t="s">
        <x:v>59</x:v>
      </x:c>
      <x:c r="F10" s="34" t="str">
        <x:v>Расслабление</x:v>
      </x:c>
      <x:c r="G10" s="34"/>
      <x:c r="H10" s="34" t="str">
        <x:v>Готово</x:v>
      </x:c>
      <x:c r="I10" s="34"/>
    </x:row>
    <x:row r="11" ht="30" customHeight="1">
      <x:c r="A11" s="31" t="s">
        <x:v>41</x:v>
      </x:c>
      <x:c r="B11" s="31">
        <x:v>3</x:v>
      </x:c>
      <x:c r="C11" s="34" t="s">
        <x:v>60</x:v>
      </x:c>
      <x:c r="D11" s="34">
        <x:v>58</x:v>
      </x:c>
      <x:c r="E11" s="34" t="s">
        <x:v>49</x:v>
      </x:c>
      <x:c r="F11" s="34" t="str">
        <x:v>Сильное тело; Расслабление; ТБС и шпагаты</x:v>
      </x:c>
      <x:c r="G11" s="34"/>
      <x:c r="H11" s="34" t="str">
        <x:v>Готово</x:v>
      </x:c>
      <x:c r="I11" s="34" t="s">
        <x:v>66</x:v>
      </x:c>
    </x:row>
    <x:row r="12" ht="30" customHeight="1">
      <x:c r="A12" s="31" t="s">
        <x:v>41</x:v>
      </x:c>
      <x:c r="B12" s="31">
        <x:v>4</x:v>
      </x:c>
      <x:c r="C12" s="34" t="s">
        <x:v>67</x:v>
      </x:c>
      <x:c r="D12" s="34">
        <x:v>5</x:v>
      </x:c>
      <x:c r="E12" s="34" t="s">
        <x:v>59</x:v>
      </x:c>
      <x:c r="F12" s="34" t="str">
        <x:v>Здоровая спина</x:v>
      </x:c>
      <x:c r="G12" s="34"/>
      <x:c r="H12" s="34" t="str">
        <x:v>Готово</x:v>
      </x:c>
      <x:c r="I12" s="34"/>
    </x:row>
    <x:row r="13" ht="30" customHeight="1">
      <x:c r="A13" s="31" t="s">
        <x:v>41</x:v>
      </x:c>
      <x:c r="B13" s="31">
        <x:v>5</x:v>
      </x:c>
      <x:c r="C13" s="34" t="s">
        <x:v>71</x:v>
      </x:c>
      <x:c r="D13" s="34">
        <x:v>38</x:v>
      </x:c>
      <x:c r="E13" s="34" t="s">
        <x:v>76</x:v>
      </x:c>
      <x:c r="F13" s="34" t="str">
        <x:v>Всё тело</x:v>
      </x:c>
      <x:c r="G13" s="34"/>
      <x:c r="H13" s="34" t="str">
        <x:v>Готово</x:v>
      </x:c>
      <x:c r="I13" s="34"/>
    </x:row>
    <x:row r="14" ht="30" customHeight="1">
      <x:c r="A14" s="31" t="s">
        <x:v>41</x:v>
      </x:c>
      <x:c r="B14" s="31">
        <x:v>6</x:v>
      </x:c>
      <x:c r="C14" s="34" t="s">
        <x:v>78</x:v>
      </x:c>
      <x:c r="D14" s="34">
        <x:v>44</x:v>
      </x:c>
      <x:c r="E14" s="34" t="s">
        <x:v>76</x:v>
      </x:c>
      <x:c r="F14" s="34" t="str">
        <x:v>Всё тело</x:v>
      </x:c>
      <x:c r="G14" s="34"/>
      <x:c r="H14" s="34" t="str">
        <x:v>Готово</x:v>
      </x:c>
      <x:c r="I14" s="34"/>
    </x:row>
    <x:row r="15" ht="30" customHeight="1">
      <x:c r="A15" s="31" t="s">
        <x:v>41</x:v>
      </x:c>
      <x:c r="B15" s="31">
        <x:v>7</x:v>
      </x:c>
      <x:c r="C15" s="34" t="s">
        <x:v>81</x:v>
      </x:c>
      <x:c r="D15" s="34">
        <x:v>36</x:v>
      </x:c>
      <x:c r="E15" s="34" t="s">
        <x:v>76</x:v>
      </x:c>
      <x:c r="F15" s="34" t="str">
        <x:v>Сильное тело; Кор и пресс; Балансы на руках; Всё тело</x:v>
      </x:c>
      <x:c r="G15" s="34"/>
      <x:c r="H15" s="34" t="str">
        <x:v>Готово</x:v>
      </x:c>
      <x:c r="I15" s="34"/>
    </x:row>
    <x:row r="16" ht="30" customHeight="1">
      <x:c r="A16" s="31" t="s">
        <x:v>41</x:v>
      </x:c>
      <x:c r="B16" s="31">
        <x:v>8</x:v>
      </x:c>
      <x:c r="C16" s="34" t="s">
        <x:v>88</x:v>
      </x:c>
      <x:c r="D16" s="34">
        <x:v>50</x:v>
      </x:c>
      <x:c r="E16" s="34" t="s">
        <x:v>49</x:v>
      </x:c>
      <x:c r="F16" s="34" t="str">
        <x:v>Здоровая спина; Всё тело</x:v>
      </x:c>
      <x:c r="G16" s="34"/>
      <x:c r="H16" s="34" t="str">
        <x:v>Готово</x:v>
      </x:c>
      <x:c r="I16" s="34" t="s">
        <x:v>93</x:v>
      </x:c>
    </x:row>
    <x:row r="17" ht="30" customHeight="1">
      <x:c r="A17" s="31" t="s">
        <x:v>41</x:v>
      </x:c>
      <x:c r="B17" s="31">
        <x:v>9</x:v>
      </x:c>
      <x:c r="C17" s="34" t="s">
        <x:v>94</x:v>
      </x:c>
      <x:c r="D17" s="34">
        <x:v>29</x:v>
      </x:c>
      <x:c r="E17" s="34" t="s">
        <x:v>76</x:v>
      </x:c>
      <x:c r="F17" s="34" t="str">
        <x:v>Расслабление</x:v>
      </x:c>
      <x:c r="G17" s="34"/>
      <x:c r="H17" s="34" t="str">
        <x:v>Готово</x:v>
      </x:c>
      <x:c r="I17" s="34"/>
    </x:row>
    <x:row r="18" ht="30" customHeight="1">
      <x:c r="A18" s="31" t="s">
        <x:v>41</x:v>
      </x:c>
      <x:c r="B18" s="31">
        <x:v>10</x:v>
      </x:c>
      <x:c r="C18" s="34" t="s">
        <x:v>99</x:v>
      </x:c>
      <x:c r="D18" s="34">
        <x:v>40</x:v>
      </x:c>
      <x:c r="E18" s="34" t="s">
        <x:v>76</x:v>
      </x:c>
      <x:c r="F18" s="34" t="str">
        <x:v>Расслабление; Зарядка; Всё тело</x:v>
      </x:c>
      <x:c r="G18" s="34"/>
      <x:c r="H18" s="34" t="str">
        <x:v>Готово</x:v>
      </x:c>
      <x:c r="I18" s="34"/>
    </x:row>
    <x:row r="19" ht="30" customHeight="1">
      <x:c r="A19" s="31" t="s">
        <x:v>41</x:v>
      </x:c>
      <x:c r="B19" s="31">
        <x:v>11</x:v>
      </x:c>
      <x:c r="C19" s="34" t="s">
        <x:v>103</x:v>
      </x:c>
      <x:c r="D19" s="34">
        <x:v>29</x:v>
      </x:c>
      <x:c r="E19" s="34" t="s">
        <x:v>76</x:v>
      </x:c>
      <x:c r="F19" s="34" t="str">
        <x:v>Сильное тело; Зарядка; Кор и пресс; Всё тело</x:v>
      </x:c>
      <x:c r="G19" s="34"/>
      <x:c r="H19" s="34" t="str">
        <x:v>Готово</x:v>
      </x:c>
      <x:c r="I19" s="34"/>
    </x:row>
    <x:row r="20" ht="30" customHeight="1">
      <x:c r="A20" s="31" t="s">
        <x:v>41</x:v>
      </x:c>
      <x:c r="B20" s="31">
        <x:v>12</x:v>
      </x:c>
      <x:c r="C20" s="34" t="s">
        <x:v>110</x:v>
      </x:c>
      <x:c r="D20" s="34">
        <x:v>88</x:v>
      </x:c>
      <x:c r="E20" s="34" t="s">
        <x:v>59</x:v>
      </x:c>
      <x:c r="F20" s="34" t="str">
        <x:v>Сильное тело; Расслабление; ТБС и шпагаты</x:v>
      </x:c>
      <x:c r="G20" s="34"/>
      <x:c r="H20" s="34" t="str">
        <x:v>Готово</x:v>
      </x:c>
      <x:c r="I20" s="34"/>
    </x:row>
    <x:row r="21" ht="30" customHeight="1">
      <x:c r="A21" s="31" t="s">
        <x:v>41</x:v>
      </x:c>
      <x:c r="B21" s="31">
        <x:v>13</x:v>
      </x:c>
      <x:c r="C21" s="34" t="s">
        <x:v>115</x:v>
      </x:c>
      <x:c r="D21" s="34">
        <x:v>56</x:v>
      </x:c>
      <x:c r="E21" s="34" t="s">
        <x:v>76</x:v>
      </x:c>
      <x:c r="F21" s="34" t="str">
        <x:v>Сильное тело; Всё тело</x:v>
      </x:c>
      <x:c r="G21" s="34"/>
      <x:c r="H21" s="34" t="str">
        <x:v>Готово</x:v>
      </x:c>
      <x:c r="I21" s="34"/>
    </x:row>
    <x:row r="22" ht="30" customHeight="1">
      <x:c r="A22" s="31" t="s">
        <x:v>41</x:v>
      </x:c>
      <x:c r="B22" s="31">
        <x:v>14</x:v>
      </x:c>
      <x:c r="C22" s="34" t="s">
        <x:v>121</x:v>
      </x:c>
      <x:c r="D22" s="34">
        <x:v>64</x:v>
      </x:c>
      <x:c r="E22" s="34" t="s">
        <x:v>49</x:v>
      </x:c>
      <x:c r="F22" s="34" t="str">
        <x:v>Сильное тело; Балансы на руках; ТБС и шпагаты</x:v>
      </x:c>
      <x:c r="G22" s="34"/>
      <x:c r="H22" s="34" t="str">
        <x:v>Готово</x:v>
      </x:c>
      <x:c r="I22" s="34" t="s">
        <x:v>125</x:v>
      </x:c>
    </x:row>
    <x:row r="23" ht="30" customHeight="1">
      <x:c r="A23" s="31" t="s">
        <x:v>41</x:v>
      </x:c>
      <x:c r="B23" s="31">
        <x:v>15</x:v>
      </x:c>
      <x:c r="C23" s="34" t="s">
        <x:v>126</x:v>
      </x:c>
      <x:c r="D23" s="34">
        <x:v>30</x:v>
      </x:c>
      <x:c r="E23" s="34" t="s">
        <x:v>49</x:v>
      </x:c>
      <x:c r="F23" s="34" t="str">
        <x:v>Сильное тело; ТБС и шпагаты</x:v>
      </x:c>
      <x:c r="G23" s="34"/>
      <x:c r="H23" s="34" t="str">
        <x:v>Готово</x:v>
      </x:c>
      <x:c r="I23" s="34" t="s">
        <x:v>131</x:v>
      </x:c>
    </x:row>
    <x:row r="24" ht="30" customHeight="1">
      <x:c r="A24" s="31" t="s">
        <x:v>41</x:v>
      </x:c>
      <x:c r="B24" s="31">
        <x:v>16</x:v>
      </x:c>
      <x:c r="C24" s="34" t="s">
        <x:v>132</x:v>
      </x:c>
      <x:c r="D24" s="34">
        <x:v>28</x:v>
      </x:c>
      <x:c r="E24" s="34" t="s">
        <x:v>49</x:v>
      </x:c>
      <x:c r="F24" s="34" t="str">
        <x:v>Сильное тело; ТБС и шпагаты</x:v>
      </x:c>
      <x:c r="G24" s="34"/>
      <x:c r="H24" s="34" t="str">
        <x:v>Готово</x:v>
      </x:c>
      <x:c r="I24" s="34" t="s">
        <x:v>135</x:v>
      </x:c>
    </x:row>
    <x:row r="25" ht="30" customHeight="1">
      <x:c r="A25" s="31" t="s">
        <x:v>41</x:v>
      </x:c>
      <x:c r="B25" s="31">
        <x:v>17</x:v>
      </x:c>
      <x:c r="C25" s="34" t="s">
        <x:v>136</x:v>
      </x:c>
      <x:c r="D25" s="34">
        <x:v>39</x:v>
      </x:c>
      <x:c r="E25" s="34" t="s">
        <x:v>49</x:v>
      </x:c>
      <x:c r="F25" s="34" t="str">
        <x:v>Сильное тело; ТБС и шпагаты</x:v>
      </x:c>
      <x:c r="G25" s="34"/>
      <x:c r="H25" s="34" t="str">
        <x:v>Готово</x:v>
      </x:c>
      <x:c r="I25" s="34" t="s">
        <x:v>125</x:v>
      </x:c>
    </x:row>
    <x:row r="26" ht="30" customHeight="1">
      <x:c r="A26" s="31" t="s">
        <x:v>41</x:v>
      </x:c>
      <x:c r="B26" s="31">
        <x:v>18</x:v>
      </x:c>
      <x:c r="C26" s="34" t="s">
        <x:v>140</x:v>
      </x:c>
      <x:c r="D26" s="34">
        <x:v>30</x:v>
      </x:c>
      <x:c r="E26" s="34" t="s">
        <x:v>49</x:v>
      </x:c>
      <x:c r="F26" s="34" t="str">
        <x:v>Сильное тело; Зарядка; Здоровая спина</x:v>
      </x:c>
      <x:c r="G26" s="34"/>
      <x:c r="H26" s="34" t="str">
        <x:v>Готово</x:v>
      </x:c>
      <x:c r="I26" s="34" t="s">
        <x:v>125</x:v>
      </x:c>
    </x:row>
    <x:row r="27" ht="30" customHeight="1">
      <x:c r="A27" s="31" t="s">
        <x:v>41</x:v>
      </x:c>
      <x:c r="B27" s="31">
        <x:v>19</x:v>
      </x:c>
      <x:c r="C27" s="34" t="s">
        <x:v>147</x:v>
      </x:c>
      <x:c r="D27" s="34">
        <x:v>31</x:v>
      </x:c>
      <x:c r="E27" s="34" t="s">
        <x:v>76</x:v>
      </x:c>
      <x:c r="F27" s="34" t="str">
        <x:v>Сильное тело; Всё тело</x:v>
      </x:c>
      <x:c r="G27" s="34"/>
      <x:c r="H27" s="34" t="str">
        <x:v>Готово</x:v>
      </x:c>
      <x:c r="I27" s="34"/>
    </x:row>
    <x:row r="28" ht="30" customHeight="1">
      <x:c r="A28" s="31" t="s">
        <x:v>41</x:v>
      </x:c>
      <x:c r="B28" s="31">
        <x:v>20</x:v>
      </x:c>
      <x:c r="C28" s="34" t="s">
        <x:v>153</x:v>
      </x:c>
      <x:c r="D28" s="34">
        <x:v>44</x:v>
      </x:c>
      <x:c r="E28" s="34" t="s">
        <x:v>76</x:v>
      </x:c>
      <x:c r="F28" s="34" t="str">
        <x:v>Всё тело</x:v>
      </x:c>
      <x:c r="G28" s="34"/>
      <x:c r="H28" s="34" t="str">
        <x:v>Готово</x:v>
      </x:c>
      <x:c r="I28" s="34"/>
    </x:row>
    <x:row r="29" ht="30" customHeight="1">
      <x:c r="A29" s="31" t="s">
        <x:v>41</x:v>
      </x:c>
      <x:c r="B29" s="31">
        <x:v>21</x:v>
      </x:c>
      <x:c r="C29" s="34" t="s">
        <x:v>156</x:v>
      </x:c>
      <x:c r="D29" s="34">
        <x:v>34</x:v>
      </x:c>
      <x:c r="E29" s="34" t="s">
        <x:v>76</x:v>
      </x:c>
      <x:c r="F29" s="34" t="str">
        <x:v>Расслабление; Всё тело</x:v>
      </x:c>
      <x:c r="G29" s="34"/>
      <x:c r="H29" s="34" t="str">
        <x:v>Готово</x:v>
      </x:c>
      <x:c r="I29" s="34"/>
    </x:row>
    <x:row r="30" ht="30" customHeight="1">
      <x:c r="A30" s="31" t="s">
        <x:v>41</x:v>
      </x:c>
      <x:c r="B30" s="31">
        <x:v>22</x:v>
      </x:c>
      <x:c r="C30" s="34" t="s">
        <x:v>162</x:v>
      </x:c>
      <x:c r="D30" s="34">
        <x:v>30</x:v>
      </x:c>
      <x:c r="E30" s="34" t="s">
        <x:v>59</x:v>
      </x:c>
      <x:c r="F30" s="34" t="str">
        <x:v>Расслабление; Всё тело</x:v>
      </x:c>
      <x:c r="G30" s="34"/>
      <x:c r="H30" s="34" t="str">
        <x:v>Готово</x:v>
      </x:c>
      <x:c r="I30" s="34"/>
    </x:row>
    <x:row r="31" ht="30" customHeight="1">
      <x:c r="A31" s="31" t="s">
        <x:v>41</x:v>
      </x:c>
      <x:c r="B31" s="31">
        <x:v>23</x:v>
      </x:c>
      <x:c r="C31" s="34" t="s">
        <x:v>167</x:v>
      </x:c>
      <x:c r="D31" s="34">
        <x:v>31</x:v>
      </x:c>
      <x:c r="E31" s="34" t="s">
        <x:v>76</x:v>
      </x:c>
      <x:c r="F31" s="34" t="str">
        <x:v>Сильное тело; Кор и пресс; Всё тело</x:v>
      </x:c>
      <x:c r="G31" s="34"/>
      <x:c r="H31" s="34" t="str">
        <x:v>Готово</x:v>
      </x:c>
      <x:c r="I31" s="34"/>
    </x:row>
    <x:row r="32" ht="30" customHeight="1">
      <x:c r="A32" s="31" t="s">
        <x:v>41</x:v>
      </x:c>
      <x:c r="B32" s="31">
        <x:v>24</x:v>
      </x:c>
      <x:c r="C32" s="34" t="s">
        <x:v>172</x:v>
      </x:c>
      <x:c r="D32" s="34">
        <x:v>40</x:v>
      </x:c>
      <x:c r="E32" s="34" t="s">
        <x:v>76</x:v>
      </x:c>
      <x:c r="F32" s="34" t="str">
        <x:v>Расслабление; Зарядка; ТБС и шпагаты</x:v>
      </x:c>
      <x:c r="G32" s="34"/>
      <x:c r="H32" s="34" t="str">
        <x:v>Готово</x:v>
      </x:c>
      <x:c r="I32" s="34"/>
    </x:row>
    <x:row r="33" ht="30" customHeight="1">
      <x:c r="A33" s="31" t="s">
        <x:v>41</x:v>
      </x:c>
      <x:c r="B33" s="31">
        <x:v>25</x:v>
      </x:c>
      <x:c r="C33" s="34" t="s">
        <x:v>176</x:v>
      </x:c>
      <x:c r="D33" s="34">
        <x:v>18</x:v>
      </x:c>
      <x:c r="E33" s="34" t="s">
        <x:v>76</x:v>
      </x:c>
      <x:c r="F33" s="34" t="str">
        <x:v>Зарядка; Здоровая спина; Всё тело</x:v>
      </x:c>
      <x:c r="G33" s="34"/>
      <x:c r="H33" s="34" t="str">
        <x:v>Готово</x:v>
      </x:c>
      <x:c r="I33" s="34"/>
    </x:row>
    <x:row r="34" ht="30" customHeight="1">
      <x:c r="A34" s="31" t="s">
        <x:v>41</x:v>
      </x:c>
      <x:c r="B34" s="31">
        <x:v>26</x:v>
      </x:c>
      <x:c r="C34" s="34" t="s">
        <x:v>182</x:v>
      </x:c>
      <x:c r="D34" s="34">
        <x:v>20</x:v>
      </x:c>
      <x:c r="E34" s="34" t="s">
        <x:v>76</x:v>
      </x:c>
      <x:c r="F34" s="34" t="str">
        <x:v>Сильное тело; Кор и пресс; Балансы на руках</x:v>
      </x:c>
      <x:c r="G34" s="34"/>
      <x:c r="H34" s="34" t="str">
        <x:v>Готово</x:v>
      </x:c>
      <x:c r="I34" s="34"/>
    </x:row>
    <x:row r="35" ht="30" customHeight="1">
      <x:c r="A35" s="31" t="s">
        <x:v>41</x:v>
      </x:c>
      <x:c r="B35" s="31">
        <x:v>27</x:v>
      </x:c>
      <x:c r="C35" s="34" t="s">
        <x:v>188</x:v>
      </x:c>
      <x:c r="D35" s="34">
        <x:v>17</x:v>
      </x:c>
      <x:c r="E35" s="34" t="s">
        <x:v>76</x:v>
      </x:c>
      <x:c r="F35" s="34" t="str">
        <x:v>Зарядка; Всё тело</x:v>
      </x:c>
      <x:c r="G35" s="34"/>
      <x:c r="H35" s="34" t="str">
        <x:v>Готово</x:v>
      </x:c>
      <x:c r="I35" s="34"/>
    </x:row>
    <x:row r="36" ht="30" customHeight="1">
      <x:c r="A36" s="31" t="s">
        <x:v>41</x:v>
      </x:c>
      <x:c r="B36" s="31">
        <x:v>28</x:v>
      </x:c>
      <x:c r="C36" s="34" t="s">
        <x:v>192</x:v>
      </x:c>
      <x:c r="D36" s="34">
        <x:v>10</x:v>
      </x:c>
      <x:c r="E36" s="34" t="s">
        <x:v>76</x:v>
      </x:c>
      <x:c r="F36" s="34" t="str">
        <x:v>Зарядка; Всё тело</x:v>
      </x:c>
      <x:c r="G36" s="34"/>
      <x:c r="H36" s="34" t="str">
        <x:v>Готово</x:v>
      </x:c>
      <x:c r="I36" s="34"/>
    </x:row>
    <x:row r="37" ht="30" customHeight="1">
      <x:c r="A37" s="31" t="s">
        <x:v>41</x:v>
      </x:c>
      <x:c r="B37" s="31">
        <x:v>29</x:v>
      </x:c>
      <x:c r="C37" s="34" t="s">
        <x:v>198</x:v>
      </x:c>
      <x:c r="D37" s="34">
        <x:v>12</x:v>
      </x:c>
      <x:c r="E37" s="34" t="s">
        <x:v>76</x:v>
      </x:c>
      <x:c r="F37" s="34" t="str">
        <x:v>Расслабление; Всё тело</x:v>
      </x:c>
      <x:c r="G37" s="34"/>
      <x:c r="H37" s="34" t="str">
        <x:v>Готово</x:v>
      </x:c>
      <x:c r="I37" s="34"/>
    </x:row>
    <x:row r="38" ht="30" customHeight="1">
      <x:c r="A38" s="31" t="s">
        <x:v>41</x:v>
      </x:c>
      <x:c r="B38" s="31">
        <x:v>30</x:v>
      </x:c>
      <x:c r="C38" s="34" t="s">
        <x:v>202</x:v>
      </x:c>
      <x:c r="D38" s="34">
        <x:v>30</x:v>
      </x:c>
      <x:c r="E38" s="34" t="s">
        <x:v>76</x:v>
      </x:c>
      <x:c r="F38" s="34" t="str">
        <x:v>Расслабление</x:v>
      </x:c>
      <x:c r="G38" s="34"/>
      <x:c r="H38" s="34" t="str">
        <x:v>Готово</x:v>
      </x:c>
      <x:c r="I38" s="34"/>
    </x:row>
    <x:row r="39" ht="30" customHeight="1">
      <x:c r="A39" s="31" t="s">
        <x:v>41</x:v>
      </x:c>
      <x:c r="B39" s="31">
        <x:v>31</x:v>
      </x:c>
      <x:c r="C39" s="34" t="s">
        <x:v>207</x:v>
      </x:c>
      <x:c r="D39" s="34">
        <x:v>28</x:v>
      </x:c>
      <x:c r="E39" s="34" t="s">
        <x:v>76</x:v>
      </x:c>
      <x:c r="F39" s="34" t="str">
        <x:v>Сильное тело; Кор и пресс; Балансы на руках</x:v>
      </x:c>
      <x:c r="G39" s="34"/>
      <x:c r="H39" s="34" t="str">
        <x:v>Готово</x:v>
      </x:c>
      <x:c r="I39" s="34"/>
    </x:row>
    <x:row r="40" ht="30" customHeight="1">
      <x:c r="A40" s="31" t="s">
        <x:v>212</x:v>
      </x:c>
      <x:c r="B40" s="31">
        <x:v>1</x:v>
      </x:c>
      <x:c r="C40" s="34" t="s">
        <x:v>213</x:v>
      </x:c>
      <x:c r="D40" s="34">
        <x:v>15</x:v>
      </x:c>
      <x:c r="E40" s="34" t="s">
        <x:v>76</x:v>
      </x:c>
      <x:c r="F40" s="34" t="str">
        <x:v>Зарядка; Всё тело</x:v>
      </x:c>
      <x:c r="G40" s="34"/>
      <x:c r="H40" s="34" t="str">
        <x:v>Готово</x:v>
      </x:c>
      <x:c r="I40" s="34"/>
    </x:row>
    <x:row r="41" ht="30" customHeight="1">
      <x:c r="A41" s="31" t="s">
        <x:v>212</x:v>
      </x:c>
      <x:c r="B41" s="31">
        <x:v>2</x:v>
      </x:c>
      <x:c r="C41" s="34" t="s">
        <x:v>218</x:v>
      </x:c>
      <x:c r="D41" s="34">
        <x:v>14</x:v>
      </x:c>
      <x:c r="E41" s="34" t="s">
        <x:v>59</x:v>
      </x:c>
      <x:c r="F41" s="34" t="str">
        <x:v>Расслабление; Здоровая спина</x:v>
      </x:c>
      <x:c r="G41" s="34"/>
      <x:c r="H41" s="34" t="str">
        <x:v>Готово</x:v>
      </x:c>
      <x:c r="I41" s="34"/>
    </x:row>
    <x:row r="42" ht="30" customHeight="1">
      <x:c r="A42" s="31" t="s">
        <x:v>212</x:v>
      </x:c>
      <x:c r="B42" s="31">
        <x:v>3</x:v>
      </x:c>
      <x:c r="C42" s="34" t="s">
        <x:v>223</x:v>
      </x:c>
      <x:c r="D42" s="34">
        <x:v>11</x:v>
      </x:c>
      <x:c r="E42" s="34" t="s">
        <x:v>59</x:v>
      </x:c>
      <x:c r="F42" s="34" t="str">
        <x:v>Кор и пресс</x:v>
      </x:c>
      <x:c r="G42" s="34"/>
      <x:c r="H42" s="34" t="str">
        <x:v>Готово</x:v>
      </x:c>
      <x:c r="I42" s="34"/>
    </x:row>
    <x:row r="43" ht="30" customHeight="1">
      <x:c r="A43" s="31" t="s">
        <x:v>212</x:v>
      </x:c>
      <x:c r="B43" s="31">
        <x:v>4</x:v>
      </x:c>
      <x:c r="C43" s="34" t="s">
        <x:v>227</x:v>
      </x:c>
      <x:c r="D43" s="34">
        <x:v>15</x:v>
      </x:c>
      <x:c r="E43" s="34" t="s">
        <x:v>76</x:v>
      </x:c>
      <x:c r="F43" s="34" t="str">
        <x:v>Зарядка; Всё тело</x:v>
      </x:c>
      <x:c r="G43" s="34"/>
      <x:c r="H43" s="34" t="str">
        <x:v>Готово</x:v>
      </x:c>
      <x:c r="I43" s="34"/>
    </x:row>
    <x:row r="44" ht="30" customHeight="1">
      <x:c r="A44" s="31" t="s">
        <x:v>212</x:v>
      </x:c>
      <x:c r="B44" s="31">
        <x:v>5</x:v>
      </x:c>
      <x:c r="C44" s="34" t="s">
        <x:v>232</x:v>
      </x:c>
      <x:c r="D44" s="34">
        <x:v>6</x:v>
      </x:c>
      <x:c r="E44" s="34" t="s">
        <x:v>76</x:v>
      </x:c>
      <x:c r="F44" s="34" t="str">
        <x:v>Зарядка; Всё тело</x:v>
      </x:c>
      <x:c r="G44" s="34"/>
      <x:c r="H44" s="34" t="str">
        <x:v>Готово</x:v>
      </x:c>
      <x:c r="I44" s="34"/>
    </x:row>
    <x:row r="45" ht="30" customHeight="1">
      <x:c r="A45" s="31" t="s">
        <x:v>212</x:v>
      </x:c>
      <x:c r="B45" s="31">
        <x:v>6</x:v>
      </x:c>
      <x:c r="C45" s="34" t="s">
        <x:v>236</x:v>
      </x:c>
      <x:c r="D45" s="34">
        <x:v>25</x:v>
      </x:c>
      <x:c r="E45" s="34" t="s">
        <x:v>240</x:v>
      </x:c>
      <x:c r="F45" s="34" t="str">
        <x:v>Сильное тело; Зарядка; Всё тело</x:v>
      </x:c>
      <x:c r="G45" s="34"/>
      <x:c r="H45" s="34" t="str">
        <x:v>Готово</x:v>
      </x:c>
      <x:c r="I45" s="34"/>
    </x:row>
    <x:row r="46" ht="30" customHeight="1">
      <x:c r="A46" s="31" t="s">
        <x:v>212</x:v>
      </x:c>
      <x:c r="B46" s="31">
        <x:v>7</x:v>
      </x:c>
      <x:c r="C46" s="34" t="s">
        <x:v>242</x:v>
      </x:c>
      <x:c r="D46" s="34">
        <x:v>23</x:v>
      </x:c>
      <x:c r="E46" s="34" t="s">
        <x:v>49</x:v>
      </x:c>
      <x:c r="F46" s="34" t="str">
        <x:v>Расслабление</x:v>
      </x:c>
      <x:c r="G46" s="34"/>
      <x:c r="H46" s="34" t="str">
        <x:v>Готово</x:v>
      </x:c>
      <x:c r="I46" s="34" t="s">
        <x:v>246</x:v>
      </x:c>
    </x:row>
    <x:row r="47" ht="30" customHeight="1">
      <x:c r="A47" s="31" t="s">
        <x:v>212</x:v>
      </x:c>
      <x:c r="B47" s="31">
        <x:v>8</x:v>
      </x:c>
      <x:c r="C47" s="34" t="s">
        <x:v>247</x:v>
      </x:c>
      <x:c r="D47" s="34">
        <x:v>12</x:v>
      </x:c>
      <x:c r="E47" s="34" t="s">
        <x:v>76</x:v>
      </x:c>
      <x:c r="F47" s="34" t="str">
        <x:v>Зарядка; Всё тело</x:v>
      </x:c>
      <x:c r="G47" s="34"/>
      <x:c r="H47" s="34" t="str">
        <x:v>Готово</x:v>
      </x:c>
      <x:c r="I47" s="34"/>
    </x:row>
    <x:row r="48" ht="30" customHeight="1">
      <x:c r="A48" s="31" t="s">
        <x:v>212</x:v>
      </x:c>
      <x:c r="B48" s="31">
        <x:v>9</x:v>
      </x:c>
      <x:c r="C48" s="34" t="s">
        <x:v>251</x:v>
      </x:c>
      <x:c r="D48" s="34">
        <x:v>13</x:v>
      </x:c>
      <x:c r="E48" s="34" t="s">
        <x:v>76</x:v>
      </x:c>
      <x:c r="F48" s="34" t="str">
        <x:v>Зарядка; Здоровая спина</x:v>
      </x:c>
      <x:c r="G48" s="34"/>
      <x:c r="H48" s="34" t="str">
        <x:v>Готово</x:v>
      </x:c>
      <x:c r="I48" s="34"/>
    </x:row>
    <x:row r="49" ht="30" customHeight="1">
      <x:c r="A49" s="31" t="s">
        <x:v>212</x:v>
      </x:c>
      <x:c r="B49" s="31">
        <x:v>10</x:v>
      </x:c>
      <x:c r="C49" s="34" t="s">
        <x:v>256</x:v>
      </x:c>
      <x:c r="D49" s="34">
        <x:v>14</x:v>
      </x:c>
      <x:c r="E49" s="34" t="s">
        <x:v>76</x:v>
      </x:c>
      <x:c r="F49" s="34" t="str">
        <x:v>Зарядка; Всё тело</x:v>
      </x:c>
      <x:c r="G49" s="34"/>
      <x:c r="H49" s="34" t="str">
        <x:v>Готово</x:v>
      </x:c>
      <x:c r="I49" s="34"/>
    </x:row>
    <x:row r="50" ht="30" customHeight="1">
      <x:c r="A50" s="31" t="s">
        <x:v>212</x:v>
      </x:c>
      <x:c r="B50" s="31">
        <x:v>11</x:v>
      </x:c>
      <x:c r="C50" s="34" t="s">
        <x:v>259</x:v>
      </x:c>
      <x:c r="D50" s="34">
        <x:v>13</x:v>
      </x:c>
      <x:c r="E50" s="34" t="s">
        <x:v>76</x:v>
      </x:c>
      <x:c r="F50" s="34" t="str">
        <x:v>Расслабление</x:v>
      </x:c>
      <x:c r="G50" s="34"/>
      <x:c r="H50" s="34" t="str">
        <x:v>Готово</x:v>
      </x:c>
      <x:c r="I50" s="34"/>
    </x:row>
    <x:row r="51" ht="30" customHeight="1">
      <x:c r="A51" s="31" t="s">
        <x:v>212</x:v>
      </x:c>
      <x:c r="B51" s="31">
        <x:v>12</x:v>
      </x:c>
      <x:c r="C51" s="34" t="s">
        <x:v>263</x:v>
      </x:c>
      <x:c r="D51" s="34">
        <x:v>8</x:v>
      </x:c>
      <x:c r="E51" s="34" t="s">
        <x:v>76</x:v>
      </x:c>
      <x:c r="F51" s="34" t="str">
        <x:v>Зарядка</x:v>
      </x:c>
      <x:c r="G51" s="34"/>
      <x:c r="H51" s="34" t="str">
        <x:v>Готово</x:v>
      </x:c>
      <x:c r="I51" s="34"/>
    </x:row>
    <x:row r="52" ht="30" customHeight="1">
      <x:c r="A52" s="31" t="s">
        <x:v>212</x:v>
      </x:c>
      <x:c r="B52" s="31">
        <x:v>13</x:v>
      </x:c>
      <x:c r="C52" s="34" t="s">
        <x:v>267</x:v>
      </x:c>
      <x:c r="D52" s="34">
        <x:v>20</x:v>
      </x:c>
      <x:c r="E52" s="34" t="s">
        <x:v>76</x:v>
      </x:c>
      <x:c r="F52" s="34" t="str">
        <x:v>Сильное тело; Сильные ноги; Всё тело</x:v>
      </x:c>
      <x:c r="G52" s="34"/>
      <x:c r="H52" s="34" t="str">
        <x:v>Готово</x:v>
      </x:c>
      <x:c r="I52" s="34"/>
    </x:row>
    <x:row r="53" ht="30" customHeight="1">
      <x:c r="A53" s="31" t="s">
        <x:v>212</x:v>
      </x:c>
      <x:c r="B53" s="31">
        <x:v>14</x:v>
      </x:c>
      <x:c r="C53" s="34" t="s">
        <x:v>272</x:v>
      </x:c>
      <x:c r="D53" s="34">
        <x:v>22</x:v>
      </x:c>
      <x:c r="E53" s="34" t="s">
        <x:v>76</x:v>
      </x:c>
      <x:c r="F53" s="34" t="str">
        <x:v>Расслабление; Всё тело</x:v>
      </x:c>
      <x:c r="G53" s="34"/>
      <x:c r="H53" s="34" t="str">
        <x:v>Готово</x:v>
      </x:c>
      <x:c r="I53" s="34"/>
    </x:row>
    <x:row r="54" ht="30" customHeight="1">
      <x:c r="A54" s="31" t="s">
        <x:v>212</x:v>
      </x:c>
      <x:c r="B54" s="31">
        <x:v>15</x:v>
      </x:c>
      <x:c r="C54" s="34" t="s">
        <x:v>277</x:v>
      </x:c>
      <x:c r="D54" s="34">
        <x:v>15</x:v>
      </x:c>
      <x:c r="E54" s="34" t="s">
        <x:v>76</x:v>
      </x:c>
      <x:c r="F54" s="34" t="str">
        <x:v>Зарядка; Всё тело</x:v>
      </x:c>
      <x:c r="G54" s="34"/>
      <x:c r="H54" s="34" t="str">
        <x:v>Готово</x:v>
      </x:c>
      <x:c r="I54" s="34"/>
    </x:row>
    <x:row r="55" ht="30" customHeight="1">
      <x:c r="A55" s="31" t="s">
        <x:v>212</x:v>
      </x:c>
      <x:c r="B55" s="31">
        <x:v>16</x:v>
      </x:c>
      <x:c r="C55" s="34" t="s">
        <x:v>280</x:v>
      </x:c>
      <x:c r="D55" s="34">
        <x:v>15</x:v>
      </x:c>
      <x:c r="E55" s="34" t="s">
        <x:v>76</x:v>
      </x:c>
      <x:c r="F55" s="34" t="str">
        <x:v>Зарядка; Здоровая спина</x:v>
      </x:c>
      <x:c r="G55" s="34"/>
      <x:c r="H55" s="34" t="str">
        <x:v>Готово</x:v>
      </x:c>
      <x:c r="I55" s="34"/>
    </x:row>
    <x:row r="56" ht="30" customHeight="1">
      <x:c r="A56" s="31" t="s">
        <x:v>212</x:v>
      </x:c>
      <x:c r="B56" s="31">
        <x:v>17</x:v>
      </x:c>
      <x:c r="C56" s="34" t="s">
        <x:v>284</x:v>
      </x:c>
      <x:c r="D56" s="34">
        <x:v>9</x:v>
      </x:c>
      <x:c r="E56" s="34" t="s">
        <x:v>76</x:v>
      </x:c>
      <x:c r="F56" s="34" t="str">
        <x:v>Кор и пресс</x:v>
      </x:c>
      <x:c r="G56" s="34"/>
      <x:c r="H56" s="34" t="str">
        <x:v>Готово</x:v>
      </x:c>
      <x:c r="I56" s="34"/>
    </x:row>
    <x:row r="57" ht="30" customHeight="1">
      <x:c r="A57" s="31" t="s">
        <x:v>212</x:v>
      </x:c>
      <x:c r="B57" s="31">
        <x:v>18</x:v>
      </x:c>
      <x:c r="C57" s="34" t="s">
        <x:v>289</x:v>
      </x:c>
      <x:c r="D57" s="34">
        <x:v>18</x:v>
      </x:c>
      <x:c r="E57" s="34" t="s">
        <x:v>76</x:v>
      </x:c>
      <x:c r="F57" s="34" t="str">
        <x:v>Зарядка; Балансы на руках</x:v>
      </x:c>
      <x:c r="G57" s="34"/>
      <x:c r="H57" s="34" t="str">
        <x:v>Готово</x:v>
      </x:c>
      <x:c r="I57" s="34"/>
    </x:row>
    <x:row r="58" ht="30" customHeight="1">
      <x:c r="A58" s="31" t="s">
        <x:v>212</x:v>
      </x:c>
      <x:c r="B58" s="31">
        <x:v>19</x:v>
      </x:c>
      <x:c r="C58" s="34" t="s">
        <x:v>295</x:v>
      </x:c>
      <x:c r="D58" s="34">
        <x:v>7</x:v>
      </x:c>
      <x:c r="E58" s="34" t="s">
        <x:v>59</x:v>
      </x:c>
      <x:c r="F58" s="34" t="str">
        <x:v>Зарядка</x:v>
      </x:c>
      <x:c r="G58" s="34"/>
      <x:c r="H58" s="34" t="str">
        <x:v>Готово</x:v>
      </x:c>
      <x:c r="I58" s="34"/>
    </x:row>
    <x:row r="59" ht="30" customHeight="1">
      <x:c r="A59" s="31" t="s">
        <x:v>212</x:v>
      </x:c>
      <x:c r="B59" s="31">
        <x:v>20</x:v>
      </x:c>
      <x:c r="C59" s="34" t="s">
        <x:v>298</x:v>
      </x:c>
      <x:c r="D59" s="34">
        <x:v>20</x:v>
      </x:c>
      <x:c r="E59" s="34" t="s">
        <x:v>76</x:v>
      </x:c>
      <x:c r="F59" s="34" t="str">
        <x:v>Сильное тело; Зарядка; Балансы на руках; Всё тело</x:v>
      </x:c>
      <x:c r="G59" s="34"/>
      <x:c r="H59" s="34" t="str">
        <x:v>Готово</x:v>
      </x:c>
      <x:c r="I59" s="34"/>
    </x:row>
    <x:row r="60" ht="30" customHeight="1">
      <x:c r="A60" s="31" t="s">
        <x:v>212</x:v>
      </x:c>
      <x:c r="B60" s="31">
        <x:v>21</x:v>
      </x:c>
      <x:c r="C60" s="34" t="s">
        <x:v>303</x:v>
      </x:c>
      <x:c r="D60" s="34">
        <x:v>18</x:v>
      </x:c>
      <x:c r="E60" s="34" t="s">
        <x:v>76</x:v>
      </x:c>
      <x:c r="F60" s="34" t="str">
        <x:v>Сильное тело; Зарядка; Здоровая спина</x:v>
      </x:c>
      <x:c r="G60" s="34"/>
      <x:c r="H60" s="34" t="str">
        <x:v>Готово</x:v>
      </x:c>
      <x:c r="I60" s="34"/>
    </x:row>
    <x:row r="61" ht="30" customHeight="1">
      <x:c r="A61" s="31" t="s">
        <x:v>212</x:v>
      </x:c>
      <x:c r="B61" s="31">
        <x:v>22</x:v>
      </x:c>
      <x:c r="C61" s="34" t="s">
        <x:v>308</x:v>
      </x:c>
      <x:c r="D61" s="34">
        <x:v>15</x:v>
      </x:c>
      <x:c r="E61" s="34" t="s">
        <x:v>59</x:v>
      </x:c>
      <x:c r="F61" s="34" t="str">
        <x:v>Зарядка; Всё тело</x:v>
      </x:c>
      <x:c r="G61" s="34"/>
      <x:c r="H61" s="34" t="str">
        <x:v>Готово</x:v>
      </x:c>
      <x:c r="I61" s="34"/>
    </x:row>
    <x:row r="62" ht="30" customHeight="1">
      <x:c r="A62" s="31" t="s">
        <x:v>212</x:v>
      </x:c>
      <x:c r="B62" s="31">
        <x:v>23</x:v>
      </x:c>
      <x:c r="C62" s="34" t="s">
        <x:v>312</x:v>
      </x:c>
      <x:c r="D62" s="34">
        <x:v>15</x:v>
      </x:c>
      <x:c r="E62" s="34" t="s">
        <x:v>76</x:v>
      </x:c>
      <x:c r="F62" s="34" t="str">
        <x:v>Расслабление; Здоровая спина</x:v>
      </x:c>
      <x:c r="G62" s="34"/>
      <x:c r="H62" s="34" t="str">
        <x:v>Готово</x:v>
      </x:c>
      <x:c r="I62" s="34"/>
    </x:row>
    <x:row r="63" ht="30" customHeight="1">
      <x:c r="A63" s="31" t="s">
        <x:v>212</x:v>
      </x:c>
      <x:c r="B63" s="31">
        <x:v>24</x:v>
      </x:c>
      <x:c r="C63" s="34" t="s">
        <x:v>317</x:v>
      </x:c>
      <x:c r="D63" s="34">
        <x:v>10</x:v>
      </x:c>
      <x:c r="E63" s="34" t="s">
        <x:v>76</x:v>
      </x:c>
      <x:c r="F63" s="34" t="str">
        <x:v>Кор и пресс</x:v>
      </x:c>
      <x:c r="G63" s="34"/>
      <x:c r="H63" s="34" t="str">
        <x:v>Готово</x:v>
      </x:c>
      <x:c r="I63" s="34"/>
    </x:row>
    <x:row r="64" ht="30" customHeight="1">
      <x:c r="A64" s="31" t="s">
        <x:v>212</x:v>
      </x:c>
      <x:c r="B64" s="31">
        <x:v>25</x:v>
      </x:c>
      <x:c r="C64" s="34" t="s">
        <x:v>321</x:v>
      </x:c>
      <x:c r="D64" s="34">
        <x:v>16</x:v>
      </x:c>
      <x:c r="E64" s="34" t="s">
        <x:v>76</x:v>
      </x:c>
      <x:c r="F64" s="34" t="str">
        <x:v>Зарядка; Всё тело</x:v>
      </x:c>
      <x:c r="G64" s="34"/>
      <x:c r="H64" s="34" t="str">
        <x:v>Готово</x:v>
      </x:c>
      <x:c r="I64" s="34"/>
    </x:row>
    <x:row r="65" ht="30" customHeight="1">
      <x:c r="A65" s="31" t="s">
        <x:v>212</x:v>
      </x:c>
      <x:c r="B65" s="31">
        <x:v>26</x:v>
      </x:c>
      <x:c r="C65" s="34" t="s">
        <x:v>325</x:v>
      </x:c>
      <x:c r="D65" s="34">
        <x:v>13</x:v>
      </x:c>
      <x:c r="E65" s="34" t="s">
        <x:v>76</x:v>
      </x:c>
      <x:c r="F65" s="34" t="str">
        <x:v>Расслабление</x:v>
      </x:c>
      <x:c r="G65" s="34"/>
      <x:c r="H65" s="34" t="str">
        <x:v>Готово</x:v>
      </x:c>
      <x:c r="I65" s="34"/>
    </x:row>
    <x:row r="66" ht="30" customHeight="1">
      <x:c r="A66" s="31" t="s">
        <x:v>212</x:v>
      </x:c>
      <x:c r="B66" s="31">
        <x:v>27</x:v>
      </x:c>
      <x:c r="C66" s="34" t="s">
        <x:v>330</x:v>
      </x:c>
      <x:c r="D66" s="34">
        <x:v>19</x:v>
      </x:c>
      <x:c r="E66" s="34" t="s">
        <x:v>76</x:v>
      </x:c>
      <x:c r="F66" s="34" t="str">
        <x:v>Зарядка; Всё тело</x:v>
      </x:c>
      <x:c r="G66" s="34"/>
      <x:c r="H66" s="34" t="str">
        <x:v>Готово</x:v>
      </x:c>
      <x:c r="I66" s="34"/>
    </x:row>
    <x:row r="67" ht="30" customHeight="1">
      <x:c r="A67" s="31" t="s">
        <x:v>212</x:v>
      </x:c>
      <x:c r="B67" s="31">
        <x:v>28</x:v>
      </x:c>
      <x:c r="C67" s="34" t="s">
        <x:v>334</x:v>
      </x:c>
      <x:c r="D67" s="34">
        <x:v>24</x:v>
      </x:c>
      <x:c r="E67" s="34" t="s">
        <x:v>76</x:v>
      </x:c>
      <x:c r="F67" s="34" t="str">
        <x:v>Расслабление; ТБС и шпагаты</x:v>
      </x:c>
      <x:c r="G67" s="34"/>
      <x:c r="H67" s="34" t="str">
        <x:v>Готово</x:v>
      </x:c>
      <x:c r="I67" s="34"/>
    </x:row>
    <x:row r="68" ht="30" customHeight="1">
      <x:c r="A68" s="31" t="s">
        <x:v>212</x:v>
      </x:c>
      <x:c r="B68" s="31">
        <x:v>54</x:v>
      </x:c>
      <x:c r="C68" s="34" t="s">
        <x:v>340</x:v>
      </x:c>
      <x:c r="D68" s="34">
        <x:v>15</x:v>
      </x:c>
      <x:c r="E68" s="34" t="s">
        <x:v>76</x:v>
      </x:c>
      <x:c r="F68" s="34" t="str">
        <x:v>Зарядка; Всё тело</x:v>
      </x:c>
      <x:c r="G68" s="34"/>
      <x:c r="H68" s="34" t="str">
        <x:v>Готово</x:v>
      </x:c>
      <x:c r="I68" s="34"/>
    </x:row>
    <x:row r="69" ht="30" customHeight="1">
      <x:c r="A69" s="31" t="s">
        <x:v>212</x:v>
      </x:c>
      <x:c r="B69" s="31">
        <x:v>55</x:v>
      </x:c>
      <x:c r="C69" s="34" t="s">
        <x:v>344</x:v>
      </x:c>
      <x:c r="D69" s="34">
        <x:v>14</x:v>
      </x:c>
      <x:c r="E69" s="34" t="s">
        <x:v>59</x:v>
      </x:c>
      <x:c r="F69" s="34" t="str">
        <x:v>Здоровая спина</x:v>
      </x:c>
      <x:c r="G69" s="34"/>
      <x:c r="H69" s="34" t="str">
        <x:v>Готово</x:v>
      </x:c>
      <x:c r="I69" s="34"/>
    </x:row>
    <x:row r="70" ht="30" customHeight="1">
      <x:c r="A70" s="31" t="s">
        <x:v>212</x:v>
      </x:c>
      <x:c r="B70" s="31">
        <x:v>56</x:v>
      </x:c>
      <x:c r="C70" s="34" t="s">
        <x:v>348</x:v>
      </x:c>
      <x:c r="D70" s="34">
        <x:v>12</x:v>
      </x:c>
      <x:c r="E70" s="34" t="s">
        <x:v>76</x:v>
      </x:c>
      <x:c r="F70" s="34" t="str">
        <x:v>Расслабление; Зарядка; ТБС и шпагаты</x:v>
      </x:c>
      <x:c r="G70" s="34"/>
      <x:c r="H70" s="34" t="str">
        <x:v>Готово</x:v>
      </x:c>
      <x:c r="I70" s="34"/>
    </x:row>
    <x:row r="71" ht="30" customHeight="1">
      <x:c r="A71" s="31" t="s">
        <x:v>212</x:v>
      </x:c>
      <x:c r="B71" s="31">
        <x:v>57</x:v>
      </x:c>
      <x:c r="C71" s="34" t="s">
        <x:v>354</x:v>
      </x:c>
      <x:c r="D71" s="34">
        <x:v>15</x:v>
      </x:c>
      <x:c r="E71" s="34" t="s">
        <x:v>76</x:v>
      </x:c>
      <x:c r="F71" s="34" t="str">
        <x:v>Кор и пресс</x:v>
      </x:c>
      <x:c r="G71" s="34"/>
      <x:c r="H71" s="34" t="str">
        <x:v>Готово</x:v>
      </x:c>
      <x:c r="I71" s="34"/>
    </x:row>
    <x:row r="72" ht="30" customHeight="1">
      <x:c r="A72" s="31" t="s">
        <x:v>212</x:v>
      </x:c>
      <x:c r="B72" s="31">
        <x:v>58</x:v>
      </x:c>
      <x:c r="C72" s="34" t="s">
        <x:v>359</x:v>
      </x:c>
      <x:c r="D72" s="34">
        <x:v>7</x:v>
      </x:c>
      <x:c r="E72" s="34" t="s">
        <x:v>76</x:v>
      </x:c>
      <x:c r="F72" s="34" t="str">
        <x:v>Зарядка; Всё тело</x:v>
      </x:c>
      <x:c r="G72" s="34"/>
      <x:c r="H72" s="34" t="str">
        <x:v>Готово</x:v>
      </x:c>
      <x:c r="I72" s="34"/>
    </x:row>
    <x:row r="73" ht="30" customHeight="1">
      <x:c r="A73" s="31" t="s">
        <x:v>212</x:v>
      </x:c>
      <x:c r="B73" s="31">
        <x:v>59</x:v>
      </x:c>
      <x:c r="C73" s="34" t="s">
        <x:v>298</x:v>
      </x:c>
      <x:c r="D73" s="34">
        <x:v>20</x:v>
      </x:c>
      <x:c r="E73" s="34" t="s">
        <x:v>76</x:v>
      </x:c>
      <x:c r="F73" s="34" t="str">
        <x:v>Сильное тело; Зарядка; Балансы на руках; Всё тело</x:v>
      </x:c>
      <x:c r="G73" s="34"/>
      <x:c r="H73" s="34" t="str">
        <x:v>Готово</x:v>
      </x:c>
      <x:c r="I73" s="34"/>
    </x:row>
    <x:row r="74" ht="30" customHeight="1">
      <x:c r="A74" s="31" t="s">
        <x:v>212</x:v>
      </x:c>
      <x:c r="B74" s="31">
        <x:v>60</x:v>
      </x:c>
      <x:c r="C74" s="34" t="s">
        <x:v>366</x:v>
      </x:c>
      <x:c r="D74" s="34">
        <x:v>21</x:v>
      </x:c>
      <x:c r="E74" s="34" t="s">
        <x:v>76</x:v>
      </x:c>
      <x:c r="F74" s="34" t="str">
        <x:v>Расслабление; Всё тело</x:v>
      </x:c>
      <x:c r="G74" s="34"/>
      <x:c r="H74" s="34" t="str">
        <x:v>Готово</x:v>
      </x:c>
      <x:c r="I74" s="34"/>
    </x:row>
    <x:row r="75" ht="30" customHeight="1">
      <x:c r="A75" s="31" t="s">
        <x:v>212</x:v>
      </x:c>
      <x:c r="B75" s="31">
        <x:v>61</x:v>
      </x:c>
      <x:c r="C75" s="34" t="s">
        <x:v>371</x:v>
      </x:c>
      <x:c r="D75" s="34">
        <x:v>14</x:v>
      </x:c>
      <x:c r="E75" s="34" t="s">
        <x:v>76</x:v>
      </x:c>
      <x:c r="F75" s="34" t="str">
        <x:v>Зарядка; Всё тело</x:v>
      </x:c>
      <x:c r="G75" s="34"/>
      <x:c r="H75" s="34" t="str">
        <x:v>Готово</x:v>
      </x:c>
      <x:c r="I75" s="34"/>
    </x:row>
    <x:row r="76" ht="30" customHeight="1">
      <x:c r="A76" s="31" t="s">
        <x:v>212</x:v>
      </x:c>
      <x:c r="B76" s="31">
        <x:v>62</x:v>
      </x:c>
      <x:c r="C76" s="34" t="s">
        <x:v>374</x:v>
      </x:c>
      <x:c r="D76" s="34">
        <x:v>15</x:v>
      </x:c>
      <x:c r="E76" s="34" t="s">
        <x:v>59</x:v>
      </x:c>
      <x:c r="F76" s="34" t="str">
        <x:v>Здоровая спина</x:v>
      </x:c>
      <x:c r="G76" s="34"/>
      <x:c r="H76" s="34" t="str">
        <x:v>Готово</x:v>
      </x:c>
      <x:c r="I76" s="34"/>
    </x:row>
    <x:row r="77" ht="30" customHeight="1">
      <x:c r="A77" s="31" t="s">
        <x:v>212</x:v>
      </x:c>
      <x:c r="B77" s="31">
        <x:v>63</x:v>
      </x:c>
      <x:c r="C77" s="34" t="s">
        <x:v>378</x:v>
      </x:c>
      <x:c r="D77" s="34">
        <x:v>9</x:v>
      </x:c>
      <x:c r="E77" s="34" t="s">
        <x:v>76</x:v>
      </x:c>
      <x:c r="F77" s="34" t="str">
        <x:v>Кор и пресс</x:v>
      </x:c>
      <x:c r="G77" s="34"/>
      <x:c r="H77" s="34" t="str">
        <x:v>Готово</x:v>
      </x:c>
      <x:c r="I77" s="34"/>
    </x:row>
    <x:row r="78" ht="30" customHeight="1">
      <x:c r="A78" s="31" t="s">
        <x:v>212</x:v>
      </x:c>
      <x:c r="B78" s="31">
        <x:v>64</x:v>
      </x:c>
      <x:c r="C78" s="34" t="s">
        <x:v>383</x:v>
      </x:c>
      <x:c r="D78" s="34">
        <x:v>17</x:v>
      </x:c>
      <x:c r="E78" s="34" t="s">
        <x:v>59</x:v>
      </x:c>
      <x:c r="F78" s="34" t="str">
        <x:v>Зарядка; Всё тело</x:v>
      </x:c>
      <x:c r="G78" s="34"/>
      <x:c r="H78" s="34" t="str">
        <x:v>Готово</x:v>
      </x:c>
      <x:c r="I78" s="34"/>
    </x:row>
    <x:row r="79" ht="30" customHeight="1">
      <x:c r="A79" s="31" t="s">
        <x:v>212</x:v>
      </x:c>
      <x:c r="B79" s="31">
        <x:v>65</x:v>
      </x:c>
      <x:c r="C79" s="34" t="s">
        <x:v>387</x:v>
      </x:c>
      <x:c r="D79" s="34">
        <x:v>11</x:v>
      </x:c>
      <x:c r="E79" s="34" t="s">
        <x:v>59</x:v>
      </x:c>
      <x:c r="F79" s="34" t="str">
        <x:v>Зарядка; Всё тело</x:v>
      </x:c>
      <x:c r="G79" s="34"/>
      <x:c r="H79" s="34" t="str">
        <x:v>Готово</x:v>
      </x:c>
      <x:c r="I79" s="34"/>
    </x:row>
    <x:row r="80" ht="30" customHeight="1">
      <x:c r="A80" s="31" t="s">
        <x:v>212</x:v>
      </x:c>
      <x:c r="B80" s="31">
        <x:v>66</x:v>
      </x:c>
      <x:c r="C80" s="34" t="s">
        <x:v>391</x:v>
      </x:c>
      <x:c r="D80" s="34">
        <x:v>20</x:v>
      </x:c>
      <x:c r="E80" s="34" t="s">
        <x:v>76</x:v>
      </x:c>
      <x:c r="F80" s="34" t="str">
        <x:v>Расслабление; Здоровая спина</x:v>
      </x:c>
      <x:c r="G80" s="34"/>
      <x:c r="H80" s="34" t="str">
        <x:v>Готово</x:v>
      </x:c>
      <x:c r="I80" s="34"/>
    </x:row>
    <x:row r="81" ht="30" customHeight="1">
      <x:c r="A81" s="31" t="s">
        <x:v>212</x:v>
      </x:c>
      <x:c r="B81" s="31">
        <x:v>67</x:v>
      </x:c>
      <x:c r="C81" s="34" t="s">
        <x:v>396</x:v>
      </x:c>
      <x:c r="D81" s="34">
        <x:v>22</x:v>
      </x:c>
      <x:c r="E81" s="34" t="s">
        <x:v>76</x:v>
      </x:c>
      <x:c r="F81" s="34" t="str">
        <x:v>Расслабление; Всё тело</x:v>
      </x:c>
      <x:c r="G81" s="34"/>
      <x:c r="H81" s="34" t="str">
        <x:v>Готово</x:v>
      </x:c>
      <x:c r="I81" s="34"/>
    </x:row>
    <x:row r="82" ht="30" customHeight="1">
      <x:c r="A82" s="31" t="s">
        <x:v>212</x:v>
      </x:c>
      <x:c r="B82" s="31">
        <x:v>68</x:v>
      </x:c>
      <x:c r="C82" s="34" t="s">
        <x:v>402</x:v>
      </x:c>
      <x:c r="D82" s="34">
        <x:v>13</x:v>
      </x:c>
      <x:c r="E82" s="34" t="s">
        <x:v>59</x:v>
      </x:c>
      <x:c r="F82" s="34" t="str">
        <x:v>Зарядка; Всё тело</x:v>
      </x:c>
      <x:c r="G82" s="34"/>
      <x:c r="H82" s="34" t="str">
        <x:v>Готово</x:v>
      </x:c>
      <x:c r="I82" s="34"/>
    </x:row>
    <x:row r="83" ht="30" customHeight="1">
      <x:c r="A83" s="31" t="s">
        <x:v>212</x:v>
      </x:c>
      <x:c r="B83" s="31">
        <x:v>69</x:v>
      </x:c>
      <x:c r="C83" s="34" t="s">
        <x:v>406</x:v>
      </x:c>
      <x:c r="D83" s="34">
        <x:v>15</x:v>
      </x:c>
      <x:c r="E83" s="34" t="s">
        <x:v>76</x:v>
      </x:c>
      <x:c r="F83" s="34" t="str">
        <x:v>Здоровая спина</x:v>
      </x:c>
      <x:c r="G83" s="34"/>
      <x:c r="H83" s="34" t="str">
        <x:v>Готово</x:v>
      </x:c>
      <x:c r="I83" s="34"/>
    </x:row>
    <x:row r="84" ht="30" customHeight="1">
      <x:c r="A84" s="31" t="s">
        <x:v>212</x:v>
      </x:c>
      <x:c r="B84" s="31">
        <x:v>70</x:v>
      </x:c>
      <x:c r="C84" s="34" t="s">
        <x:v>412</x:v>
      </x:c>
      <x:c r="D84" s="34">
        <x:v>6</x:v>
      </x:c>
      <x:c r="E84" s="34" t="s">
        <x:v>76</x:v>
      </x:c>
      <x:c r="F84" s="34" t="str">
        <x:v>Зарядка; Всё тело</x:v>
      </x:c>
      <x:c r="G84" s="34"/>
      <x:c r="H84" s="34" t="str">
        <x:v>Готово</x:v>
      </x:c>
      <x:c r="I84" s="34"/>
    </x:row>
    <x:row r="85" ht="30" customHeight="1">
      <x:c r="A85" s="31" t="s">
        <x:v>212</x:v>
      </x:c>
      <x:c r="B85" s="31">
        <x:v>71</x:v>
      </x:c>
      <x:c r="C85" s="34" t="s">
        <x:v>415</x:v>
      </x:c>
      <x:c r="D85" s="34">
        <x:v>15</x:v>
      </x:c>
      <x:c r="E85" s="34" t="s">
        <x:v>76</x:v>
      </x:c>
      <x:c r="F85" s="34" t="str">
        <x:v>Зарядка; Всё тело</x:v>
      </x:c>
      <x:c r="G85" s="34"/>
      <x:c r="H85" s="34" t="str">
        <x:v>Готово</x:v>
      </x:c>
      <x:c r="I85" s="34"/>
    </x:row>
    <x:row r="86" ht="30" customHeight="1">
      <x:c r="A86" s="31" t="s">
        <x:v>212</x:v>
      </x:c>
      <x:c r="B86" s="31">
        <x:v>72</x:v>
      </x:c>
      <x:c r="C86" s="34" t="s">
        <x:v>263</x:v>
      </x:c>
      <x:c r="D86" s="34">
        <x:v>11</x:v>
      </x:c>
      <x:c r="E86" s="34" t="s">
        <x:v>76</x:v>
      </x:c>
      <x:c r="F86" s="34" t="str">
        <x:v>Зарядка; Всё тело</x:v>
      </x:c>
      <x:c r="G86" s="34"/>
      <x:c r="H86" s="34" t="str">
        <x:v>Готово</x:v>
      </x:c>
      <x:c r="I86" s="34"/>
    </x:row>
    <x:row r="87" ht="30" customHeight="1">
      <x:c r="A87" s="31" t="s">
        <x:v>212</x:v>
      </x:c>
      <x:c r="B87" s="31">
        <x:v>73</x:v>
      </x:c>
      <x:c r="C87" s="34" t="s">
        <x:v>420</x:v>
      </x:c>
      <x:c r="D87" s="34">
        <x:v>21</x:v>
      </x:c>
      <x:c r="E87" s="34" t="s">
        <x:v>76</x:v>
      </x:c>
      <x:c r="F87" s="34" t="str">
        <x:v>Сильное тело; Зарядка; Всё тело</x:v>
      </x:c>
      <x:c r="G87" s="34"/>
      <x:c r="H87" s="34" t="str">
        <x:v>Готово</x:v>
      </x:c>
      <x:c r="I87" s="34"/>
    </x:row>
    <x:row r="88" ht="30" customHeight="1">
      <x:c r="A88" s="31" t="s">
        <x:v>212</x:v>
      </x:c>
      <x:c r="B88" s="31">
        <x:v>74</x:v>
      </x:c>
      <x:c r="C88" s="34" t="s">
        <x:v>425</x:v>
      </x:c>
      <x:c r="D88" s="34">
        <x:v>24</x:v>
      </x:c>
      <x:c r="E88" s="34" t="s">
        <x:v>76</x:v>
      </x:c>
      <x:c r="F88" s="34" t="str">
        <x:v>Расслабление; Всё тело</x:v>
      </x:c>
      <x:c r="G88" s="34"/>
      <x:c r="H88" s="34" t="str">
        <x:v>Готово</x:v>
      </x:c>
      <x:c r="I88" s="34"/>
    </x:row>
    <x:row r="89" ht="30" customHeight="1">
      <x:c r="A89" s="31" t="s">
        <x:v>212</x:v>
      </x:c>
      <x:c r="B89" s="31">
        <x:v>75</x:v>
      </x:c>
      <x:c r="C89" s="34" t="s">
        <x:v>429</x:v>
      </x:c>
      <x:c r="D89" s="34">
        <x:v>15</x:v>
      </x:c>
      <x:c r="E89" s="34" t="s">
        <x:v>76</x:v>
      </x:c>
      <x:c r="F89" s="34" t="str">
        <x:v>Зарядка; Всё тело</x:v>
      </x:c>
      <x:c r="G89" s="34"/>
      <x:c r="H89" s="34" t="str">
        <x:v>Готово</x:v>
      </x:c>
      <x:c r="I89" s="34"/>
    </x:row>
    <x:row r="90" ht="30" customHeight="1">
      <x:c r="A90" s="31" t="s">
        <x:v>212</x:v>
      </x:c>
      <x:c r="B90" s="31">
        <x:v>76</x:v>
      </x:c>
      <x:c r="C90" s="34" t="s">
        <x:v>432</x:v>
      </x:c>
      <x:c r="D90" s="34">
        <x:v>13</x:v>
      </x:c>
      <x:c r="E90" s="34" t="s">
        <x:v>59</x:v>
      </x:c>
      <x:c r="F90" s="34" t="str">
        <x:v>Расслабление; Здоровая спина</x:v>
      </x:c>
      <x:c r="G90" s="34"/>
      <x:c r="H90" s="34" t="str">
        <x:v>Готово</x:v>
      </x:c>
      <x:c r="I90" s="34"/>
    </x:row>
    <x:row r="91" ht="30" customHeight="1">
      <x:c r="A91" s="31" t="s">
        <x:v>212</x:v>
      </x:c>
      <x:c r="B91" s="31">
        <x:v>77</x:v>
      </x:c>
      <x:c r="C91" s="34" t="s">
        <x:v>437</x:v>
      </x:c>
      <x:c r="D91" s="34">
        <x:v>9</x:v>
      </x:c>
      <x:c r="E91" s="34" t="s">
        <x:v>76</x:v>
      </x:c>
      <x:c r="F91" s="34" t="str">
        <x:v>Кор и пресс</x:v>
      </x:c>
      <x:c r="G91" s="34"/>
      <x:c r="H91" s="34" t="str">
        <x:v>Готово</x:v>
      </x:c>
      <x:c r="I91" s="34"/>
    </x:row>
    <x:row r="92" ht="30" customHeight="1">
      <x:c r="A92" s="31" t="s">
        <x:v>212</x:v>
      </x:c>
      <x:c r="B92" s="31">
        <x:v>78</x:v>
      </x:c>
      <x:c r="C92" s="34" t="s">
        <x:v>441</x:v>
      </x:c>
      <x:c r="D92" s="34">
        <x:v>17</x:v>
      </x:c>
      <x:c r="E92" s="34" t="s">
        <x:v>59</x:v>
      </x:c>
      <x:c r="F92" s="34" t="str">
        <x:v>Сильное тело</x:v>
      </x:c>
      <x:c r="G92" s="34"/>
      <x:c r="H92" s="34" t="str">
        <x:v>Готово</x:v>
      </x:c>
      <x:c r="I92" s="34"/>
    </x:row>
    <x:row r="93" ht="30" customHeight="1">
      <x:c r="A93" s="31" t="s">
        <x:v>212</x:v>
      </x:c>
      <x:c r="B93" s="31">
        <x:v>79</x:v>
      </x:c>
      <x:c r="C93" s="34" t="s">
        <x:v>445</x:v>
      </x:c>
      <x:c r="D93" s="34">
        <x:v>10</x:v>
      </x:c>
      <x:c r="E93" s="34" t="s">
        <x:v>76</x:v>
      </x:c>
      <x:c r="F93" s="34" t="str">
        <x:v>Зарядка</x:v>
      </x:c>
      <x:c r="G93" s="34"/>
      <x:c r="H93" s="34" t="str">
        <x:v>Готово</x:v>
      </x:c>
      <x:c r="I93" s="34"/>
    </x:row>
    <x:row r="94" ht="30" customHeight="1">
      <x:c r="A94" s="31" t="s">
        <x:v>212</x:v>
      </x:c>
      <x:c r="B94" s="31">
        <x:v>80</x:v>
      </x:c>
      <x:c r="C94" s="34" t="s">
        <x:v>449</x:v>
      </x:c>
      <x:c r="D94" s="34">
        <x:v>23</x:v>
      </x:c>
      <x:c r="E94" s="34" t="s">
        <x:v>76</x:v>
      </x:c>
      <x:c r="F94" s="34" t="str">
        <x:v>Сильное тело; Балансы на руках</x:v>
      </x:c>
      <x:c r="G94" s="34"/>
      <x:c r="H94" s="34" t="str">
        <x:v>Готово</x:v>
      </x:c>
      <x:c r="I94" s="34"/>
    </x:row>
    <x:row r="95" ht="30" customHeight="1">
      <x:c r="A95" s="31" t="s">
        <x:v>212</x:v>
      </x:c>
      <x:c r="B95" s="31">
        <x:v>81</x:v>
      </x:c>
      <x:c r="C95" s="34" t="s">
        <x:v>455</x:v>
      </x:c>
      <x:c r="D95" s="34">
        <x:v>25</x:v>
      </x:c>
      <x:c r="E95" s="34" t="s">
        <x:v>59</x:v>
      </x:c>
      <x:c r="F95" s="34" t="str">
        <x:v>Расслабление; Здоровая спина</x:v>
      </x:c>
      <x:c r="G95" s="34"/>
      <x:c r="H95" s="34" t="str">
        <x:v>Готово</x:v>
      </x:c>
      <x:c r="I95" s="34"/>
    </x:row>
    <x:row r="96" ht="30" customHeight="1">
      <x:c r="A96" s="31" t="s">
        <x:v>212</x:v>
      </x:c>
      <x:c r="B96" s="31">
        <x:v>93</x:v>
      </x:c>
      <x:c r="C96" s="34" t="s">
        <x:v>459</x:v>
      </x:c>
      <x:c r="D96" s="34">
        <x:v>10</x:v>
      </x:c>
      <x:c r="E96" s="34" t="s">
        <x:v>76</x:v>
      </x:c>
      <x:c r="F96" s="34" t="str">
        <x:v>Зарядка; Всё тело</x:v>
      </x:c>
      <x:c r="G96" s="34"/>
      <x:c r="H96" s="34" t="str">
        <x:v>Готово</x:v>
      </x:c>
      <x:c r="I96" s="34"/>
    </x:row>
    <x:row r="97" ht="30" customHeight="1">
      <x:c r="A97" s="31" t="s">
        <x:v>212</x:v>
      </x:c>
      <x:c r="B97" s="31">
        <x:v>94</x:v>
      </x:c>
      <x:c r="C97" s="34" t="s">
        <x:v>464</x:v>
      </x:c>
      <x:c r="D97" s="34">
        <x:v>19</x:v>
      </x:c>
      <x:c r="E97" s="34" t="s">
        <x:v>59</x:v>
      </x:c>
      <x:c r="F97" s="34" t="str">
        <x:v>Здоровая спина</x:v>
      </x:c>
      <x:c r="G97" s="34"/>
      <x:c r="H97" s="34" t="str">
        <x:v>Готово</x:v>
      </x:c>
      <x:c r="I97" s="34"/>
    </x:row>
    <x:row r="98" ht="30" customHeight="1">
      <x:c r="A98" s="31" t="s">
        <x:v>212</x:v>
      </x:c>
      <x:c r="B98" s="31">
        <x:v>95</x:v>
      </x:c>
      <x:c r="C98" s="34" t="s">
        <x:v>468</x:v>
      </x:c>
      <x:c r="D98" s="34">
        <x:v>9</x:v>
      </x:c>
      <x:c r="E98" s="34" t="s">
        <x:v>76</x:v>
      </x:c>
      <x:c r="F98" s="34" t="str">
        <x:v>Кор и пресс</x:v>
      </x:c>
      <x:c r="G98" s="34"/>
      <x:c r="H98" s="34" t="str">
        <x:v>Готово</x:v>
      </x:c>
      <x:c r="I98" s="34"/>
    </x:row>
    <x:row r="99" ht="30" customHeight="1">
      <x:c r="A99" s="31" t="s">
        <x:v>212</x:v>
      </x:c>
      <x:c r="B99" s="31">
        <x:v>96</x:v>
      </x:c>
      <x:c r="C99" s="34" t="s">
        <x:v>371</x:v>
      </x:c>
      <x:c r="D99" s="34">
        <x:v>14</x:v>
      </x:c>
      <x:c r="E99" s="34" t="s">
        <x:v>76</x:v>
      </x:c>
      <x:c r="F99" s="34" t="str">
        <x:v>Зарядка; Всё тело</x:v>
      </x:c>
      <x:c r="G99" s="34"/>
      <x:c r="H99" s="34" t="str">
        <x:v>Готово</x:v>
      </x:c>
      <x:c r="I99" s="34"/>
    </x:row>
    <x:row r="100" ht="30" customHeight="1">
      <x:c r="A100" s="31" t="s">
        <x:v>212</x:v>
      </x:c>
      <x:c r="B100" s="31">
        <x:v>97</x:v>
      </x:c>
      <x:c r="C100" s="34" t="s">
        <x:v>474</x:v>
      </x:c>
      <x:c r="D100" s="34">
        <x:v>16</x:v>
      </x:c>
      <x:c r="E100" s="34" t="s">
        <x:v>76</x:v>
      </x:c>
      <x:c r="F100" s="34" t="str">
        <x:v>Расслабление</x:v>
      </x:c>
      <x:c r="G100" s="34"/>
      <x:c r="H100" s="34" t="str">
        <x:v>Готово</x:v>
      </x:c>
      <x:c r="I100" s="34"/>
    </x:row>
    <x:row r="101" ht="30" customHeight="1">
      <x:c r="A101" s="31" t="s">
        <x:v>212</x:v>
      </x:c>
      <x:c r="B101" s="31">
        <x:v>98</x:v>
      </x:c>
      <x:c r="C101" s="34" t="s">
        <x:v>479</x:v>
      </x:c>
      <x:c r="D101" s="34">
        <x:v>26</x:v>
      </x:c>
      <x:c r="E101" s="34" t="s">
        <x:v>76</x:v>
      </x:c>
      <x:c r="F101" s="34" t="str">
        <x:v>Кор и пресс</x:v>
      </x:c>
      <x:c r="G101" s="34"/>
      <x:c r="H101" s="34" t="str">
        <x:v>Готово</x:v>
      </x:c>
      <x:c r="I101" s="34"/>
    </x:row>
    <x:row r="102" ht="30" customHeight="1">
      <x:c r="A102" s="31" t="s">
        <x:v>212</x:v>
      </x:c>
      <x:c r="B102" s="31">
        <x:v>99</x:v>
      </x:c>
      <x:c r="C102" s="34" t="s">
        <x:v>484</x:v>
      </x:c>
      <x:c r="D102" s="34">
        <x:v>22</x:v>
      </x:c>
      <x:c r="E102" s="34" t="s">
        <x:v>76</x:v>
      </x:c>
      <x:c r="F102" s="34" t="str">
        <x:v>Расслабление; ТБС и шпагаты</x:v>
      </x:c>
      <x:c r="G102" s="34"/>
      <x:c r="H102" s="34" t="str">
        <x:v>Готово</x:v>
      </x:c>
      <x:c r="I102" s="34"/>
    </x:row>
    <x:row r="103" ht="30" customHeight="1">
      <x:c r="A103" s="31" t="s">
        <x:v>212</x:v>
      </x:c>
      <x:c r="B103" s="31">
        <x:v>100</x:v>
      </x:c>
      <x:c r="C103" s="34" t="s">
        <x:v>489</x:v>
      </x:c>
      <x:c r="D103" s="34">
        <x:v>12</x:v>
      </x:c>
      <x:c r="E103" s="34" t="s">
        <x:v>76</x:v>
      </x:c>
      <x:c r="F103" s="34" t="str">
        <x:v>Зарядка; Всё тело</x:v>
      </x:c>
      <x:c r="G103" s="34"/>
      <x:c r="H103" s="34" t="str">
        <x:v>Готово</x:v>
      </x:c>
      <x:c r="I103" s="34"/>
    </x:row>
    <x:row r="104" ht="30" customHeight="1">
      <x:c r="A104" s="31" t="s">
        <x:v>212</x:v>
      </x:c>
      <x:c r="B104" s="31">
        <x:v>101</x:v>
      </x:c>
      <x:c r="C104" s="34" t="s">
        <x:v>492</x:v>
      </x:c>
      <x:c r="D104" s="34">
        <x:v>16</x:v>
      </x:c>
      <x:c r="E104" s="34" t="s">
        <x:v>76</x:v>
      </x:c>
      <x:c r="F104" s="34" t="str">
        <x:v>Здоровая спина</x:v>
      </x:c>
      <x:c r="G104" s="34"/>
      <x:c r="H104" s="34" t="str">
        <x:v>Готово</x:v>
      </x:c>
      <x:c r="I104" s="34"/>
    </x:row>
    <x:row r="105" ht="30" customHeight="1">
      <x:c r="A105" s="31" t="s">
        <x:v>212</x:v>
      </x:c>
      <x:c r="B105" s="31">
        <x:v>102</x:v>
      </x:c>
      <x:c r="C105" s="34" t="s">
        <x:v>497</x:v>
      </x:c>
      <x:c r="D105" s="34">
        <x:v>7</x:v>
      </x:c>
      <x:c r="E105" s="34" t="s">
        <x:v>59</x:v>
      </x:c>
      <x:c r="F105" s="34" t="str">
        <x:v>Сильное тело; Зарядка; Кор и пресс</x:v>
      </x:c>
      <x:c r="G105" s="34"/>
      <x:c r="H105" s="34" t="str">
        <x:v>Готово</x:v>
      </x:c>
      <x:c r="I105" s="34"/>
    </x:row>
    <x:row r="106" ht="30" customHeight="1">
      <x:c r="A106" s="31" t="s">
        <x:v>212</x:v>
      </x:c>
      <x:c r="B106" s="31">
        <x:v>103</x:v>
      </x:c>
      <x:c r="C106" s="34" t="s">
        <x:v>502</x:v>
      </x:c>
      <x:c r="D106" s="34">
        <x:v>17</x:v>
      </x:c>
      <x:c r="E106" s="34" t="s">
        <x:v>76</x:v>
      </x:c>
      <x:c r="F106" s="34" t="str">
        <x:v>Сильные ноги; Всё тело</x:v>
      </x:c>
      <x:c r="G106" s="34"/>
      <x:c r="H106" s="34" t="str">
        <x:v>Готово</x:v>
      </x:c>
      <x:c r="I106" s="34"/>
    </x:row>
    <x:row r="107" ht="30" customHeight="1">
      <x:c r="A107" s="31" t="s">
        <x:v>212</x:v>
      </x:c>
      <x:c r="B107" s="31">
        <x:v>104</x:v>
      </x:c>
      <x:c r="C107" s="34" t="s">
        <x:v>506</x:v>
      </x:c>
      <x:c r="D107" s="34">
        <x:v>5</x:v>
      </x:c>
      <x:c r="E107" s="34" t="s">
        <x:v>76</x:v>
      </x:c>
      <x:c r="F107" s="34" t="str">
        <x:v>Зарядка; Всё тело</x:v>
      </x:c>
      <x:c r="G107" s="34"/>
      <x:c r="H107" s="34" t="str">
        <x:v>Готово</x:v>
      </x:c>
      <x:c r="I107" s="34"/>
    </x:row>
    <x:row r="108" ht="30" customHeight="1">
      <x:c r="A108" s="31" t="s">
        <x:v>212</x:v>
      </x:c>
      <x:c r="B108" s="31">
        <x:v>105</x:v>
      </x:c>
      <x:c r="C108" s="34" t="s">
        <x:v>509</x:v>
      </x:c>
      <x:c r="D108" s="34">
        <x:v>21</x:v>
      </x:c>
      <x:c r="E108" s="34" t="s">
        <x:v>59</x:v>
      </x:c>
      <x:c r="F108" s="34" t="str">
        <x:v>Сильное тело; Зарядка; Здоровая спина</x:v>
      </x:c>
      <x:c r="G108" s="34"/>
      <x:c r="H108" s="34" t="str">
        <x:v>Готово</x:v>
      </x:c>
      <x:c r="I108" s="34"/>
    </x:row>
    <x:row r="109" ht="30" customHeight="1">
      <x:c r="A109" s="32" t="s">
        <x:v>212</x:v>
      </x:c>
      <x:c r="B109" s="32">
        <x:v>106</x:v>
      </x:c>
      <x:c r="C109" s="35" t="s">
        <x:v>514</x:v>
      </x:c>
      <x:c r="D109" s="35">
        <x:v>20</x:v>
      </x:c>
      <x:c r="E109" s="35" t="s">
        <x:v>76</x:v>
      </x:c>
      <x:c r="F109" s="35" t="str">
        <x:v>Расслабление</x:v>
      </x:c>
      <x:c r="G109" s="35"/>
      <x:c r="H109" s="35" t="str">
        <x:v>Готово</x:v>
      </x:c>
      <x:c r="I109" s="35"/>
    </x:row>
  </x:sheetData>
  <x:mergeCells>
    <x:mergeCell ref="A5:C6"/>
    <x:mergeCell ref="D5:F6"/>
    <x:mergeCell ref="G5:I6"/>
    <x:mergeCell ref="A1:I1"/>
    <x:mergeCell ref="A2:I2"/>
    <x:mergeCell ref="A4:C4"/>
    <x:mergeCell ref="D4:F4"/>
    <x:mergeCell ref="G4:I4"/>
  </x:mergeCells>
  <x:conditionalFormatting sqref="A9:I109">
    <x:cfRule type="expression" dxfId="1" priority="1">
      <x:formula>$H9="Готово"</x:formula>
    </x:cfRule>
    <x:cfRule type="expression" dxfId="0" priority="2">
      <x:formula>$H9&lt;&gt;"Готово"</x:formula>
    </x:cfRule>
  </x:conditionalFormatting>
  <x:dataValidations count="1">
    <x:dataValidation type="list" sqref="H9:H109">
      <x:formula1>"Готово,Нужно решить,Проверить: нет focus"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09af61f57447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24" hidden="0" customWidth="1"/>
  </x:cols>
  <x:sheetData>
    <x:row r="1">
      <x:c r="A1" s="67" t="str">
        <x:v>Техническая таблица teg</x:v>
      </x:c>
      <x:c r="B1" s="67"/>
      <x:c r="C1" s="67"/>
      <x:c r="D1" s="67"/>
    </x:row>
    <x:row r="2">
      <x:c r="A2" s="69" t="str">
        <x:v>Одна строка = один teg одной практики. Лист используется формулами матрицы покрытия.</x:v>
      </x:c>
      <x:c r="B2" s="69"/>
      <x:c r="C2" s="69"/>
      <x:c r="D2" s="69"/>
    </x:row>
    <x:row r="4">
      <x:c r="A4" s="71" t="str">
        <x:v>Каталог</x:v>
      </x:c>
      <x:c r="B4" s="71" t="str">
        <x:v>ID</x:v>
      </x:c>
      <x:c r="C4" s="71" t="str">
        <x:v>Мин</x:v>
      </x:c>
      <x:c r="D4" s="71" t="str">
        <x:v>teg</x:v>
      </x:c>
    </x:row>
    <x:row r="5">
      <x:c r="A5" s="73" t="str">
        <x:v>mood</x:v>
      </x:c>
      <x:c r="B5" s="73" t="n">
        <x:v>1</x:v>
      </x:c>
      <x:c r="C5" s="73" t="n">
        <x:v>57</x:v>
      </x:c>
      <x:c r="D5" s="73" t="str">
        <x:v>Расслабление</x:v>
      </x:c>
    </x:row>
    <x:row r="6">
      <x:c r="A6" s="74" t="str">
        <x:v>mood</x:v>
      </x:c>
      <x:c r="B6" s="74" t="n">
        <x:v>1</x:v>
      </x:c>
      <x:c r="C6" s="74" t="n">
        <x:v>57</x:v>
      </x:c>
      <x:c r="D6" s="74" t="str">
        <x:v>Кор и пресс</x:v>
      </x:c>
    </x:row>
    <x:row r="7">
      <x:c r="A7" s="74" t="str">
        <x:v>mood</x:v>
      </x:c>
      <x:c r="B7" s="74" t="n">
        <x:v>1</x:v>
      </x:c>
      <x:c r="C7" s="74" t="n">
        <x:v>57</x:v>
      </x:c>
      <x:c r="D7" s="74" t="str">
        <x:v>ТБС и шпагаты</x:v>
      </x:c>
    </x:row>
    <x:row r="8">
      <x:c r="A8" s="74" t="str">
        <x:v>mood</x:v>
      </x:c>
      <x:c r="B8" s="74" t="n">
        <x:v>2</x:v>
      </x:c>
      <x:c r="C8" s="74" t="n">
        <x:v>18</x:v>
      </x:c>
      <x:c r="D8" s="74" t="str">
        <x:v>Расслабление</x:v>
      </x:c>
    </x:row>
    <x:row r="9">
      <x:c r="A9" s="74" t="str">
        <x:v>mood</x:v>
      </x:c>
      <x:c r="B9" s="74" t="n">
        <x:v>3</x:v>
      </x:c>
      <x:c r="C9" s="74" t="n">
        <x:v>58</x:v>
      </x:c>
      <x:c r="D9" s="74" t="str">
        <x:v>Сильное тело</x:v>
      </x:c>
    </x:row>
    <x:row r="10">
      <x:c r="A10" s="74" t="str">
        <x:v>mood</x:v>
      </x:c>
      <x:c r="B10" s="74" t="n">
        <x:v>3</x:v>
      </x:c>
      <x:c r="C10" s="74" t="n">
        <x:v>58</x:v>
      </x:c>
      <x:c r="D10" s="74" t="str">
        <x:v>Расслабление</x:v>
      </x:c>
    </x:row>
    <x:row r="11">
      <x:c r="A11" s="74" t="str">
        <x:v>mood</x:v>
      </x:c>
      <x:c r="B11" s="74" t="n">
        <x:v>3</x:v>
      </x:c>
      <x:c r="C11" s="74" t="n">
        <x:v>58</x:v>
      </x:c>
      <x:c r="D11" s="74" t="str">
        <x:v>ТБС и шпагаты</x:v>
      </x:c>
    </x:row>
    <x:row r="12">
      <x:c r="A12" s="74" t="str">
        <x:v>mood</x:v>
      </x:c>
      <x:c r="B12" s="74" t="n">
        <x:v>4</x:v>
      </x:c>
      <x:c r="C12" s="74" t="n">
        <x:v>5</x:v>
      </x:c>
      <x:c r="D12" s="74" t="str">
        <x:v>Здоровая спина</x:v>
      </x:c>
    </x:row>
    <x:row r="13">
      <x:c r="A13" s="74" t="str">
        <x:v>mood</x:v>
      </x:c>
      <x:c r="B13" s="74" t="n">
        <x:v>5</x:v>
      </x:c>
      <x:c r="C13" s="74" t="n">
        <x:v>38</x:v>
      </x:c>
      <x:c r="D13" s="74" t="str">
        <x:v>Всё тело</x:v>
      </x:c>
    </x:row>
    <x:row r="14">
      <x:c r="A14" s="74" t="str">
        <x:v>mood</x:v>
      </x:c>
      <x:c r="B14" s="74" t="n">
        <x:v>6</x:v>
      </x:c>
      <x:c r="C14" s="74" t="n">
        <x:v>44</x:v>
      </x:c>
      <x:c r="D14" s="74" t="str">
        <x:v>Всё тело</x:v>
      </x:c>
    </x:row>
    <x:row r="15">
      <x:c r="A15" s="74" t="str">
        <x:v>mood</x:v>
      </x:c>
      <x:c r="B15" s="74" t="n">
        <x:v>7</x:v>
      </x:c>
      <x:c r="C15" s="74" t="n">
        <x:v>36</x:v>
      </x:c>
      <x:c r="D15" s="74" t="str">
        <x:v>Сильное тело</x:v>
      </x:c>
    </x:row>
    <x:row r="16">
      <x:c r="A16" s="74" t="str">
        <x:v>mood</x:v>
      </x:c>
      <x:c r="B16" s="74" t="n">
        <x:v>7</x:v>
      </x:c>
      <x:c r="C16" s="74" t="n">
        <x:v>36</x:v>
      </x:c>
      <x:c r="D16" s="74" t="str">
        <x:v>Кор и пресс</x:v>
      </x:c>
    </x:row>
    <x:row r="17">
      <x:c r="A17" s="74" t="str">
        <x:v>mood</x:v>
      </x:c>
      <x:c r="B17" s="74" t="n">
        <x:v>7</x:v>
      </x:c>
      <x:c r="C17" s="74" t="n">
        <x:v>36</x:v>
      </x:c>
      <x:c r="D17" s="74" t="str">
        <x:v>Балансы на руках</x:v>
      </x:c>
    </x:row>
    <x:row r="18">
      <x:c r="A18" s="74" t="str">
        <x:v>mood</x:v>
      </x:c>
      <x:c r="B18" s="74" t="n">
        <x:v>7</x:v>
      </x:c>
      <x:c r="C18" s="74" t="n">
        <x:v>36</x:v>
      </x:c>
      <x:c r="D18" s="74" t="str">
        <x:v>Всё тело</x:v>
      </x:c>
    </x:row>
    <x:row r="19">
      <x:c r="A19" s="74" t="str">
        <x:v>mood</x:v>
      </x:c>
      <x:c r="B19" s="74" t="n">
        <x:v>8</x:v>
      </x:c>
      <x:c r="C19" s="74" t="n">
        <x:v>50</x:v>
      </x:c>
      <x:c r="D19" s="74" t="str">
        <x:v>Здоровая спина</x:v>
      </x:c>
    </x:row>
    <x:row r="20">
      <x:c r="A20" s="74" t="str">
        <x:v>mood</x:v>
      </x:c>
      <x:c r="B20" s="74" t="n">
        <x:v>8</x:v>
      </x:c>
      <x:c r="C20" s="74" t="n">
        <x:v>50</x:v>
      </x:c>
      <x:c r="D20" s="74" t="str">
        <x:v>Всё тело</x:v>
      </x:c>
    </x:row>
    <x:row r="21">
      <x:c r="A21" s="74" t="str">
        <x:v>mood</x:v>
      </x:c>
      <x:c r="B21" s="74" t="n">
        <x:v>9</x:v>
      </x:c>
      <x:c r="C21" s="74" t="n">
        <x:v>29</x:v>
      </x:c>
      <x:c r="D21" s="74" t="str">
        <x:v>Расслабление</x:v>
      </x:c>
    </x:row>
    <x:row r="22">
      <x:c r="A22" s="74" t="str">
        <x:v>mood</x:v>
      </x:c>
      <x:c r="B22" s="74" t="n">
        <x:v>10</x:v>
      </x:c>
      <x:c r="C22" s="74" t="n">
        <x:v>40</x:v>
      </x:c>
      <x:c r="D22" s="74" t="str">
        <x:v>Расслабление</x:v>
      </x:c>
    </x:row>
    <x:row r="23">
      <x:c r="A23" s="74" t="str">
        <x:v>mood</x:v>
      </x:c>
      <x:c r="B23" s="74" t="n">
        <x:v>10</x:v>
      </x:c>
      <x:c r="C23" s="74" t="n">
        <x:v>40</x:v>
      </x:c>
      <x:c r="D23" s="74" t="str">
        <x:v>Зарядка</x:v>
      </x:c>
    </x:row>
    <x:row r="24">
      <x:c r="A24" s="74" t="str">
        <x:v>mood</x:v>
      </x:c>
      <x:c r="B24" s="74" t="n">
        <x:v>10</x:v>
      </x:c>
      <x:c r="C24" s="74" t="n">
        <x:v>40</x:v>
      </x:c>
      <x:c r="D24" s="74" t="str">
        <x:v>Всё тело</x:v>
      </x:c>
    </x:row>
    <x:row r="25">
      <x:c r="A25" s="74" t="str">
        <x:v>mood</x:v>
      </x:c>
      <x:c r="B25" s="74" t="n">
        <x:v>11</x:v>
      </x:c>
      <x:c r="C25" s="74" t="n">
        <x:v>29</x:v>
      </x:c>
      <x:c r="D25" s="74" t="str">
        <x:v>Сильное тело</x:v>
      </x:c>
    </x:row>
    <x:row r="26">
      <x:c r="A26" s="74" t="str">
        <x:v>mood</x:v>
      </x:c>
      <x:c r="B26" s="74" t="n">
        <x:v>11</x:v>
      </x:c>
      <x:c r="C26" s="74" t="n">
        <x:v>29</x:v>
      </x:c>
      <x:c r="D26" s="74" t="str">
        <x:v>Зарядка</x:v>
      </x:c>
    </x:row>
    <x:row r="27">
      <x:c r="A27" s="74" t="str">
        <x:v>mood</x:v>
      </x:c>
      <x:c r="B27" s="74" t="n">
        <x:v>11</x:v>
      </x:c>
      <x:c r="C27" s="74" t="n">
        <x:v>29</x:v>
      </x:c>
      <x:c r="D27" s="74" t="str">
        <x:v>Кор и пресс</x:v>
      </x:c>
    </x:row>
    <x:row r="28">
      <x:c r="A28" s="74" t="str">
        <x:v>mood</x:v>
      </x:c>
      <x:c r="B28" s="74" t="n">
        <x:v>11</x:v>
      </x:c>
      <x:c r="C28" s="74" t="n">
        <x:v>29</x:v>
      </x:c>
      <x:c r="D28" s="74" t="str">
        <x:v>Всё тело</x:v>
      </x:c>
    </x:row>
    <x:row r="29">
      <x:c r="A29" s="74" t="str">
        <x:v>mood</x:v>
      </x:c>
      <x:c r="B29" s="74" t="n">
        <x:v>12</x:v>
      </x:c>
      <x:c r="C29" s="74" t="n">
        <x:v>88</x:v>
      </x:c>
      <x:c r="D29" s="74" t="str">
        <x:v>Сильное тело</x:v>
      </x:c>
    </x:row>
    <x:row r="30">
      <x:c r="A30" s="74" t="str">
        <x:v>mood</x:v>
      </x:c>
      <x:c r="B30" s="74" t="n">
        <x:v>12</x:v>
      </x:c>
      <x:c r="C30" s="74" t="n">
        <x:v>88</x:v>
      </x:c>
      <x:c r="D30" s="74" t="str">
        <x:v>Расслабление</x:v>
      </x:c>
    </x:row>
    <x:row r="31">
      <x:c r="A31" s="74" t="str">
        <x:v>mood</x:v>
      </x:c>
      <x:c r="B31" s="74" t="n">
        <x:v>12</x:v>
      </x:c>
      <x:c r="C31" s="74" t="n">
        <x:v>88</x:v>
      </x:c>
      <x:c r="D31" s="74" t="str">
        <x:v>ТБС и шпагаты</x:v>
      </x:c>
    </x:row>
    <x:row r="32">
      <x:c r="A32" s="74" t="str">
        <x:v>mood</x:v>
      </x:c>
      <x:c r="B32" s="74" t="n">
        <x:v>13</x:v>
      </x:c>
      <x:c r="C32" s="74" t="n">
        <x:v>56</x:v>
      </x:c>
      <x:c r="D32" s="74" t="str">
        <x:v>Сильное тело</x:v>
      </x:c>
    </x:row>
    <x:row r="33">
      <x:c r="A33" s="74" t="str">
        <x:v>mood</x:v>
      </x:c>
      <x:c r="B33" s="74" t="n">
        <x:v>13</x:v>
      </x:c>
      <x:c r="C33" s="74" t="n">
        <x:v>56</x:v>
      </x:c>
      <x:c r="D33" s="74" t="str">
        <x:v>Всё тело</x:v>
      </x:c>
    </x:row>
    <x:row r="34">
      <x:c r="A34" s="74" t="str">
        <x:v>mood</x:v>
      </x:c>
      <x:c r="B34" s="74" t="n">
        <x:v>14</x:v>
      </x:c>
      <x:c r="C34" s="74" t="n">
        <x:v>64</x:v>
      </x:c>
      <x:c r="D34" s="74" t="str">
        <x:v>Сильное тело</x:v>
      </x:c>
    </x:row>
    <x:row r="35">
      <x:c r="A35" s="74" t="str">
        <x:v>mood</x:v>
      </x:c>
      <x:c r="B35" s="74" t="n">
        <x:v>14</x:v>
      </x:c>
      <x:c r="C35" s="74" t="n">
        <x:v>64</x:v>
      </x:c>
      <x:c r="D35" s="74" t="str">
        <x:v>Балансы на руках</x:v>
      </x:c>
    </x:row>
    <x:row r="36">
      <x:c r="A36" s="74" t="str">
        <x:v>mood</x:v>
      </x:c>
      <x:c r="B36" s="74" t="n">
        <x:v>14</x:v>
      </x:c>
      <x:c r="C36" s="74" t="n">
        <x:v>64</x:v>
      </x:c>
      <x:c r="D36" s="74" t="str">
        <x:v>ТБС и шпагаты</x:v>
      </x:c>
    </x:row>
    <x:row r="37">
      <x:c r="A37" s="74" t="str">
        <x:v>mood</x:v>
      </x:c>
      <x:c r="B37" s="74" t="n">
        <x:v>15</x:v>
      </x:c>
      <x:c r="C37" s="74" t="n">
        <x:v>30</x:v>
      </x:c>
      <x:c r="D37" s="74" t="str">
        <x:v>Сильное тело</x:v>
      </x:c>
    </x:row>
    <x:row r="38">
      <x:c r="A38" s="74" t="str">
        <x:v>mood</x:v>
      </x:c>
      <x:c r="B38" s="74" t="n">
        <x:v>15</x:v>
      </x:c>
      <x:c r="C38" s="74" t="n">
        <x:v>30</x:v>
      </x:c>
      <x:c r="D38" s="74" t="str">
        <x:v>ТБС и шпагаты</x:v>
      </x:c>
    </x:row>
    <x:row r="39">
      <x:c r="A39" s="74" t="str">
        <x:v>mood</x:v>
      </x:c>
      <x:c r="B39" s="74" t="n">
        <x:v>16</x:v>
      </x:c>
      <x:c r="C39" s="74" t="n">
        <x:v>28</x:v>
      </x:c>
      <x:c r="D39" s="74" t="str">
        <x:v>Сильное тело</x:v>
      </x:c>
    </x:row>
    <x:row r="40">
      <x:c r="A40" s="74" t="str">
        <x:v>mood</x:v>
      </x:c>
      <x:c r="B40" s="74" t="n">
        <x:v>16</x:v>
      </x:c>
      <x:c r="C40" s="74" t="n">
        <x:v>28</x:v>
      </x:c>
      <x:c r="D40" s="74" t="str">
        <x:v>ТБС и шпагаты</x:v>
      </x:c>
    </x:row>
    <x:row r="41">
      <x:c r="A41" s="74" t="str">
        <x:v>mood</x:v>
      </x:c>
      <x:c r="B41" s="74" t="n">
        <x:v>17</x:v>
      </x:c>
      <x:c r="C41" s="74" t="n">
        <x:v>39</x:v>
      </x:c>
      <x:c r="D41" s="74" t="str">
        <x:v>Сильное тело</x:v>
      </x:c>
    </x:row>
    <x:row r="42">
      <x:c r="A42" s="74" t="str">
        <x:v>mood</x:v>
      </x:c>
      <x:c r="B42" s="74" t="n">
        <x:v>17</x:v>
      </x:c>
      <x:c r="C42" s="74" t="n">
        <x:v>39</x:v>
      </x:c>
      <x:c r="D42" s="74" t="str">
        <x:v>ТБС и шпагаты</x:v>
      </x:c>
    </x:row>
    <x:row r="43">
      <x:c r="A43" s="74" t="str">
        <x:v>mood</x:v>
      </x:c>
      <x:c r="B43" s="74" t="n">
        <x:v>18</x:v>
      </x:c>
      <x:c r="C43" s="74" t="n">
        <x:v>30</x:v>
      </x:c>
      <x:c r="D43" s="74" t="str">
        <x:v>Сильное тело</x:v>
      </x:c>
    </x:row>
    <x:row r="44">
      <x:c r="A44" s="74" t="str">
        <x:v>mood</x:v>
      </x:c>
      <x:c r="B44" s="74" t="n">
        <x:v>18</x:v>
      </x:c>
      <x:c r="C44" s="74" t="n">
        <x:v>30</x:v>
      </x:c>
      <x:c r="D44" s="74" t="str">
        <x:v>Зарядка</x:v>
      </x:c>
    </x:row>
    <x:row r="45">
      <x:c r="A45" s="74" t="str">
        <x:v>mood</x:v>
      </x:c>
      <x:c r="B45" s="74" t="n">
        <x:v>18</x:v>
      </x:c>
      <x:c r="C45" s="74" t="n">
        <x:v>30</x:v>
      </x:c>
      <x:c r="D45" s="74" t="str">
        <x:v>Здоровая спина</x:v>
      </x:c>
    </x:row>
    <x:row r="46">
      <x:c r="A46" s="74" t="str">
        <x:v>mood</x:v>
      </x:c>
      <x:c r="B46" s="74" t="n">
        <x:v>19</x:v>
      </x:c>
      <x:c r="C46" s="74" t="n">
        <x:v>31</x:v>
      </x:c>
      <x:c r="D46" s="74" t="str">
        <x:v>Сильное тело</x:v>
      </x:c>
    </x:row>
    <x:row r="47">
      <x:c r="A47" s="74" t="str">
        <x:v>mood</x:v>
      </x:c>
      <x:c r="B47" s="74" t="n">
        <x:v>19</x:v>
      </x:c>
      <x:c r="C47" s="74" t="n">
        <x:v>31</x:v>
      </x:c>
      <x:c r="D47" s="74" t="str">
        <x:v>Всё тело</x:v>
      </x:c>
    </x:row>
    <x:row r="48">
      <x:c r="A48" s="74" t="str">
        <x:v>mood</x:v>
      </x:c>
      <x:c r="B48" s="74" t="n">
        <x:v>20</x:v>
      </x:c>
      <x:c r="C48" s="74" t="n">
        <x:v>44</x:v>
      </x:c>
      <x:c r="D48" s="74" t="str">
        <x:v>Всё тело</x:v>
      </x:c>
    </x:row>
    <x:row r="49">
      <x:c r="A49" s="74" t="str">
        <x:v>mood</x:v>
      </x:c>
      <x:c r="B49" s="74" t="n">
        <x:v>21</x:v>
      </x:c>
      <x:c r="C49" s="74" t="n">
        <x:v>34</x:v>
      </x:c>
      <x:c r="D49" s="74" t="str">
        <x:v>Расслабление</x:v>
      </x:c>
    </x:row>
    <x:row r="50">
      <x:c r="A50" s="74" t="str">
        <x:v>mood</x:v>
      </x:c>
      <x:c r="B50" s="74" t="n">
        <x:v>21</x:v>
      </x:c>
      <x:c r="C50" s="74" t="n">
        <x:v>34</x:v>
      </x:c>
      <x:c r="D50" s="74" t="str">
        <x:v>Всё тело</x:v>
      </x:c>
    </x:row>
    <x:row r="51">
      <x:c r="A51" s="74" t="str">
        <x:v>mood</x:v>
      </x:c>
      <x:c r="B51" s="74" t="n">
        <x:v>22</x:v>
      </x:c>
      <x:c r="C51" s="74" t="n">
        <x:v>30</x:v>
      </x:c>
      <x:c r="D51" s="74" t="str">
        <x:v>Расслабление</x:v>
      </x:c>
    </x:row>
    <x:row r="52">
      <x:c r="A52" s="74" t="str">
        <x:v>mood</x:v>
      </x:c>
      <x:c r="B52" s="74" t="n">
        <x:v>22</x:v>
      </x:c>
      <x:c r="C52" s="74" t="n">
        <x:v>30</x:v>
      </x:c>
      <x:c r="D52" s="74" t="str">
        <x:v>Всё тело</x:v>
      </x:c>
    </x:row>
    <x:row r="53">
      <x:c r="A53" s="74" t="str">
        <x:v>mood</x:v>
      </x:c>
      <x:c r="B53" s="74" t="n">
        <x:v>23</x:v>
      </x:c>
      <x:c r="C53" s="74" t="n">
        <x:v>31</x:v>
      </x:c>
      <x:c r="D53" s="74" t="str">
        <x:v>Сильное тело</x:v>
      </x:c>
    </x:row>
    <x:row r="54">
      <x:c r="A54" s="74" t="str">
        <x:v>mood</x:v>
      </x:c>
      <x:c r="B54" s="74" t="n">
        <x:v>23</x:v>
      </x:c>
      <x:c r="C54" s="74" t="n">
        <x:v>31</x:v>
      </x:c>
      <x:c r="D54" s="74" t="str">
        <x:v>Кор и пресс</x:v>
      </x:c>
    </x:row>
    <x:row r="55">
      <x:c r="A55" s="74" t="str">
        <x:v>mood</x:v>
      </x:c>
      <x:c r="B55" s="74" t="n">
        <x:v>23</x:v>
      </x:c>
      <x:c r="C55" s="74" t="n">
        <x:v>31</x:v>
      </x:c>
      <x:c r="D55" s="74" t="str">
        <x:v>Всё тело</x:v>
      </x:c>
    </x:row>
    <x:row r="56">
      <x:c r="A56" s="74" t="str">
        <x:v>mood</x:v>
      </x:c>
      <x:c r="B56" s="74" t="n">
        <x:v>24</x:v>
      </x:c>
      <x:c r="C56" s="74" t="n">
        <x:v>40</x:v>
      </x:c>
      <x:c r="D56" s="74" t="str">
        <x:v>Расслабление</x:v>
      </x:c>
    </x:row>
    <x:row r="57">
      <x:c r="A57" s="74" t="str">
        <x:v>mood</x:v>
      </x:c>
      <x:c r="B57" s="74" t="n">
        <x:v>24</x:v>
      </x:c>
      <x:c r="C57" s="74" t="n">
        <x:v>40</x:v>
      </x:c>
      <x:c r="D57" s="74" t="str">
        <x:v>Зарядка</x:v>
      </x:c>
    </x:row>
    <x:row r="58">
      <x:c r="A58" s="74" t="str">
        <x:v>mood</x:v>
      </x:c>
      <x:c r="B58" s="74" t="n">
        <x:v>24</x:v>
      </x:c>
      <x:c r="C58" s="74" t="n">
        <x:v>40</x:v>
      </x:c>
      <x:c r="D58" s="74" t="str">
        <x:v>ТБС и шпагаты</x:v>
      </x:c>
    </x:row>
    <x:row r="59">
      <x:c r="A59" s="74" t="str">
        <x:v>mood</x:v>
      </x:c>
      <x:c r="B59" s="74" t="n">
        <x:v>25</x:v>
      </x:c>
      <x:c r="C59" s="74" t="n">
        <x:v>18</x:v>
      </x:c>
      <x:c r="D59" s="74" t="str">
        <x:v>Зарядка</x:v>
      </x:c>
    </x:row>
    <x:row r="60">
      <x:c r="A60" s="74" t="str">
        <x:v>mood</x:v>
      </x:c>
      <x:c r="B60" s="74" t="n">
        <x:v>25</x:v>
      </x:c>
      <x:c r="C60" s="74" t="n">
        <x:v>18</x:v>
      </x:c>
      <x:c r="D60" s="74" t="str">
        <x:v>Здоровая спина</x:v>
      </x:c>
    </x:row>
    <x:row r="61">
      <x:c r="A61" s="74" t="str">
        <x:v>mood</x:v>
      </x:c>
      <x:c r="B61" s="74" t="n">
        <x:v>25</x:v>
      </x:c>
      <x:c r="C61" s="74" t="n">
        <x:v>18</x:v>
      </x:c>
      <x:c r="D61" s="74" t="str">
        <x:v>Всё тело</x:v>
      </x:c>
    </x:row>
    <x:row r="62">
      <x:c r="A62" s="74" t="str">
        <x:v>mood</x:v>
      </x:c>
      <x:c r="B62" s="74" t="n">
        <x:v>26</x:v>
      </x:c>
      <x:c r="C62" s="74" t="n">
        <x:v>20</x:v>
      </x:c>
      <x:c r="D62" s="74" t="str">
        <x:v>Сильное тело</x:v>
      </x:c>
    </x:row>
    <x:row r="63">
      <x:c r="A63" s="74" t="str">
        <x:v>mood</x:v>
      </x:c>
      <x:c r="B63" s="74" t="n">
        <x:v>26</x:v>
      </x:c>
      <x:c r="C63" s="74" t="n">
        <x:v>20</x:v>
      </x:c>
      <x:c r="D63" s="74" t="str">
        <x:v>Кор и пресс</x:v>
      </x:c>
    </x:row>
    <x:row r="64">
      <x:c r="A64" s="74" t="str">
        <x:v>mood</x:v>
      </x:c>
      <x:c r="B64" s="74" t="n">
        <x:v>26</x:v>
      </x:c>
      <x:c r="C64" s="74" t="n">
        <x:v>20</x:v>
      </x:c>
      <x:c r="D64" s="74" t="str">
        <x:v>Балансы на руках</x:v>
      </x:c>
    </x:row>
    <x:row r="65">
      <x:c r="A65" s="74" t="str">
        <x:v>mood</x:v>
      </x:c>
      <x:c r="B65" s="74" t="n">
        <x:v>27</x:v>
      </x:c>
      <x:c r="C65" s="74" t="n">
        <x:v>17</x:v>
      </x:c>
      <x:c r="D65" s="74" t="str">
        <x:v>Зарядка</x:v>
      </x:c>
    </x:row>
    <x:row r="66">
      <x:c r="A66" s="74" t="str">
        <x:v>mood</x:v>
      </x:c>
      <x:c r="B66" s="74" t="n">
        <x:v>27</x:v>
      </x:c>
      <x:c r="C66" s="74" t="n">
        <x:v>17</x:v>
      </x:c>
      <x:c r="D66" s="74" t="str">
        <x:v>Всё тело</x:v>
      </x:c>
    </x:row>
    <x:row r="67">
      <x:c r="A67" s="74" t="str">
        <x:v>mood</x:v>
      </x:c>
      <x:c r="B67" s="74" t="n">
        <x:v>28</x:v>
      </x:c>
      <x:c r="C67" s="74" t="n">
        <x:v>10</x:v>
      </x:c>
      <x:c r="D67" s="74" t="str">
        <x:v>Зарядка</x:v>
      </x:c>
    </x:row>
    <x:row r="68">
      <x:c r="A68" s="74" t="str">
        <x:v>mood</x:v>
      </x:c>
      <x:c r="B68" s="74" t="n">
        <x:v>28</x:v>
      </x:c>
      <x:c r="C68" s="74" t="n">
        <x:v>10</x:v>
      </x:c>
      <x:c r="D68" s="74" t="str">
        <x:v>Всё тело</x:v>
      </x:c>
    </x:row>
    <x:row r="69">
      <x:c r="A69" s="74" t="str">
        <x:v>mood</x:v>
      </x:c>
      <x:c r="B69" s="74" t="n">
        <x:v>29</x:v>
      </x:c>
      <x:c r="C69" s="74" t="n">
        <x:v>12</x:v>
      </x:c>
      <x:c r="D69" s="74" t="str">
        <x:v>Расслабление</x:v>
      </x:c>
    </x:row>
    <x:row r="70">
      <x:c r="A70" s="74" t="str">
        <x:v>mood</x:v>
      </x:c>
      <x:c r="B70" s="74" t="n">
        <x:v>29</x:v>
      </x:c>
      <x:c r="C70" s="74" t="n">
        <x:v>12</x:v>
      </x:c>
      <x:c r="D70" s="74" t="str">
        <x:v>Всё тело</x:v>
      </x:c>
    </x:row>
    <x:row r="71">
      <x:c r="A71" s="74" t="str">
        <x:v>mood</x:v>
      </x:c>
      <x:c r="B71" s="74" t="n">
        <x:v>30</x:v>
      </x:c>
      <x:c r="C71" s="74" t="n">
        <x:v>30</x:v>
      </x:c>
      <x:c r="D71" s="74" t="str">
        <x:v>Расслабление</x:v>
      </x:c>
    </x:row>
    <x:row r="72">
      <x:c r="A72" s="74" t="str">
        <x:v>mood</x:v>
      </x:c>
      <x:c r="B72" s="74" t="n">
        <x:v>31</x:v>
      </x:c>
      <x:c r="C72" s="74" t="n">
        <x:v>28</x:v>
      </x:c>
      <x:c r="D72" s="74" t="str">
        <x:v>Сильное тело</x:v>
      </x:c>
    </x:row>
    <x:row r="73">
      <x:c r="A73" s="74" t="str">
        <x:v>mood</x:v>
      </x:c>
      <x:c r="B73" s="74" t="n">
        <x:v>31</x:v>
      </x:c>
      <x:c r="C73" s="74" t="n">
        <x:v>28</x:v>
      </x:c>
      <x:c r="D73" s="74" t="str">
        <x:v>Кор и пресс</x:v>
      </x:c>
    </x:row>
    <x:row r="74">
      <x:c r="A74" s="74" t="str">
        <x:v>mood</x:v>
      </x:c>
      <x:c r="B74" s="74" t="n">
        <x:v>31</x:v>
      </x:c>
      <x:c r="C74" s="74" t="n">
        <x:v>28</x:v>
      </x:c>
      <x:c r="D74" s="74" t="str">
        <x:v>Балансы на руках</x:v>
      </x:c>
    </x:row>
    <x:row r="75">
      <x:c r="A75" s="74" t="str">
        <x:v>yoga</x:v>
      </x:c>
      <x:c r="B75" s="74" t="n">
        <x:v>1</x:v>
      </x:c>
      <x:c r="C75" s="74" t="n">
        <x:v>15</x:v>
      </x:c>
      <x:c r="D75" s="74" t="str">
        <x:v>Зарядка</x:v>
      </x:c>
    </x:row>
    <x:row r="76">
      <x:c r="A76" s="74" t="str">
        <x:v>yoga</x:v>
      </x:c>
      <x:c r="B76" s="74" t="n">
        <x:v>1</x:v>
      </x:c>
      <x:c r="C76" s="74" t="n">
        <x:v>15</x:v>
      </x:c>
      <x:c r="D76" s="74" t="str">
        <x:v>Всё тело</x:v>
      </x:c>
    </x:row>
    <x:row r="77">
      <x:c r="A77" s="74" t="str">
        <x:v>yoga</x:v>
      </x:c>
      <x:c r="B77" s="74" t="n">
        <x:v>2</x:v>
      </x:c>
      <x:c r="C77" s="74" t="n">
        <x:v>14</x:v>
      </x:c>
      <x:c r="D77" s="74" t="str">
        <x:v>Расслабление</x:v>
      </x:c>
    </x:row>
    <x:row r="78">
      <x:c r="A78" s="74" t="str">
        <x:v>yoga</x:v>
      </x:c>
      <x:c r="B78" s="74" t="n">
        <x:v>2</x:v>
      </x:c>
      <x:c r="C78" s="74" t="n">
        <x:v>14</x:v>
      </x:c>
      <x:c r="D78" s="74" t="str">
        <x:v>Здоровая спина</x:v>
      </x:c>
    </x:row>
    <x:row r="79">
      <x:c r="A79" s="74" t="str">
        <x:v>yoga</x:v>
      </x:c>
      <x:c r="B79" s="74" t="n">
        <x:v>3</x:v>
      </x:c>
      <x:c r="C79" s="74" t="n">
        <x:v>11</x:v>
      </x:c>
      <x:c r="D79" s="74" t="str">
        <x:v>Кор и пресс</x:v>
      </x:c>
    </x:row>
    <x:row r="80">
      <x:c r="A80" s="74" t="str">
        <x:v>yoga</x:v>
      </x:c>
      <x:c r="B80" s="74" t="n">
        <x:v>4</x:v>
      </x:c>
      <x:c r="C80" s="74" t="n">
        <x:v>15</x:v>
      </x:c>
      <x:c r="D80" s="74" t="str">
        <x:v>Зарядка</x:v>
      </x:c>
    </x:row>
    <x:row r="81">
      <x:c r="A81" s="74" t="str">
        <x:v>yoga</x:v>
      </x:c>
      <x:c r="B81" s="74" t="n">
        <x:v>4</x:v>
      </x:c>
      <x:c r="C81" s="74" t="n">
        <x:v>15</x:v>
      </x:c>
      <x:c r="D81" s="74" t="str">
        <x:v>Всё тело</x:v>
      </x:c>
    </x:row>
    <x:row r="82">
      <x:c r="A82" s="74" t="str">
        <x:v>yoga</x:v>
      </x:c>
      <x:c r="B82" s="74" t="n">
        <x:v>5</x:v>
      </x:c>
      <x:c r="C82" s="74" t="n">
        <x:v>6</x:v>
      </x:c>
      <x:c r="D82" s="74" t="str">
        <x:v>Зарядка</x:v>
      </x:c>
    </x:row>
    <x:row r="83">
      <x:c r="A83" s="74" t="str">
        <x:v>yoga</x:v>
      </x:c>
      <x:c r="B83" s="74" t="n">
        <x:v>5</x:v>
      </x:c>
      <x:c r="C83" s="74" t="n">
        <x:v>6</x:v>
      </x:c>
      <x:c r="D83" s="74" t="str">
        <x:v>Всё тело</x:v>
      </x:c>
    </x:row>
    <x:row r="84">
      <x:c r="A84" s="74" t="str">
        <x:v>yoga</x:v>
      </x:c>
      <x:c r="B84" s="74" t="n">
        <x:v>6</x:v>
      </x:c>
      <x:c r="C84" s="74" t="n">
        <x:v>25</x:v>
      </x:c>
      <x:c r="D84" s="74" t="str">
        <x:v>Сильное тело</x:v>
      </x:c>
    </x:row>
    <x:row r="85">
      <x:c r="A85" s="74" t="str">
        <x:v>yoga</x:v>
      </x:c>
      <x:c r="B85" s="74" t="n">
        <x:v>6</x:v>
      </x:c>
      <x:c r="C85" s="74" t="n">
        <x:v>25</x:v>
      </x:c>
      <x:c r="D85" s="74" t="str">
        <x:v>Зарядка</x:v>
      </x:c>
    </x:row>
    <x:row r="86">
      <x:c r="A86" s="74" t="str">
        <x:v>yoga</x:v>
      </x:c>
      <x:c r="B86" s="74" t="n">
        <x:v>6</x:v>
      </x:c>
      <x:c r="C86" s="74" t="n">
        <x:v>25</x:v>
      </x:c>
      <x:c r="D86" s="74" t="str">
        <x:v>Всё тело</x:v>
      </x:c>
    </x:row>
    <x:row r="87">
      <x:c r="A87" s="74" t="str">
        <x:v>yoga</x:v>
      </x:c>
      <x:c r="B87" s="74" t="n">
        <x:v>7</x:v>
      </x:c>
      <x:c r="C87" s="74" t="n">
        <x:v>23</x:v>
      </x:c>
      <x:c r="D87" s="74" t="str">
        <x:v>Расслабление</x:v>
      </x:c>
    </x:row>
    <x:row r="88">
      <x:c r="A88" s="74" t="str">
        <x:v>yoga</x:v>
      </x:c>
      <x:c r="B88" s="74" t="n">
        <x:v>8</x:v>
      </x:c>
      <x:c r="C88" s="74" t="n">
        <x:v>12</x:v>
      </x:c>
      <x:c r="D88" s="74" t="str">
        <x:v>Зарядка</x:v>
      </x:c>
    </x:row>
    <x:row r="89">
      <x:c r="A89" s="74" t="str">
        <x:v>yoga</x:v>
      </x:c>
      <x:c r="B89" s="74" t="n">
        <x:v>8</x:v>
      </x:c>
      <x:c r="C89" s="74" t="n">
        <x:v>12</x:v>
      </x:c>
      <x:c r="D89" s="74" t="str">
        <x:v>Всё тело</x:v>
      </x:c>
    </x:row>
    <x:row r="90">
      <x:c r="A90" s="74" t="str">
        <x:v>yoga</x:v>
      </x:c>
      <x:c r="B90" s="74" t="n">
        <x:v>9</x:v>
      </x:c>
      <x:c r="C90" s="74" t="n">
        <x:v>13</x:v>
      </x:c>
      <x:c r="D90" s="74" t="str">
        <x:v>Зарядка</x:v>
      </x:c>
    </x:row>
    <x:row r="91">
      <x:c r="A91" s="74" t="str">
        <x:v>yoga</x:v>
      </x:c>
      <x:c r="B91" s="74" t="n">
        <x:v>9</x:v>
      </x:c>
      <x:c r="C91" s="74" t="n">
        <x:v>13</x:v>
      </x:c>
      <x:c r="D91" s="74" t="str">
        <x:v>Здоровая спина</x:v>
      </x:c>
    </x:row>
    <x:row r="92">
      <x:c r="A92" s="74" t="str">
        <x:v>yoga</x:v>
      </x:c>
      <x:c r="B92" s="74" t="n">
        <x:v>10</x:v>
      </x:c>
      <x:c r="C92" s="74" t="n">
        <x:v>14</x:v>
      </x:c>
      <x:c r="D92" s="74" t="str">
        <x:v>Зарядка</x:v>
      </x:c>
    </x:row>
    <x:row r="93">
      <x:c r="A93" s="74" t="str">
        <x:v>yoga</x:v>
      </x:c>
      <x:c r="B93" s="74" t="n">
        <x:v>10</x:v>
      </x:c>
      <x:c r="C93" s="74" t="n">
        <x:v>14</x:v>
      </x:c>
      <x:c r="D93" s="74" t="str">
        <x:v>Всё тело</x:v>
      </x:c>
    </x:row>
    <x:row r="94">
      <x:c r="A94" s="74" t="str">
        <x:v>yoga</x:v>
      </x:c>
      <x:c r="B94" s="74" t="n">
        <x:v>11</x:v>
      </x:c>
      <x:c r="C94" s="74" t="n">
        <x:v>13</x:v>
      </x:c>
      <x:c r="D94" s="74" t="str">
        <x:v>Расслабление</x:v>
      </x:c>
    </x:row>
    <x:row r="95">
      <x:c r="A95" s="74" t="str">
        <x:v>yoga</x:v>
      </x:c>
      <x:c r="B95" s="74" t="n">
        <x:v>12</x:v>
      </x:c>
      <x:c r="C95" s="74" t="n">
        <x:v>8</x:v>
      </x:c>
      <x:c r="D95" s="74" t="str">
        <x:v>Зарядка</x:v>
      </x:c>
    </x:row>
    <x:row r="96">
      <x:c r="A96" s="74" t="str">
        <x:v>yoga</x:v>
      </x:c>
      <x:c r="B96" s="74" t="n">
        <x:v>13</x:v>
      </x:c>
      <x:c r="C96" s="74" t="n">
        <x:v>20</x:v>
      </x:c>
      <x:c r="D96" s="74" t="str">
        <x:v>Сильное тело</x:v>
      </x:c>
    </x:row>
    <x:row r="97">
      <x:c r="A97" s="74" t="str">
        <x:v>yoga</x:v>
      </x:c>
      <x:c r="B97" s="74" t="n">
        <x:v>13</x:v>
      </x:c>
      <x:c r="C97" s="74" t="n">
        <x:v>20</x:v>
      </x:c>
      <x:c r="D97" s="74" t="str">
        <x:v>Сильные ноги</x:v>
      </x:c>
    </x:row>
    <x:row r="98">
      <x:c r="A98" s="74" t="str">
        <x:v>yoga</x:v>
      </x:c>
      <x:c r="B98" s="74" t="n">
        <x:v>13</x:v>
      </x:c>
      <x:c r="C98" s="74" t="n">
        <x:v>20</x:v>
      </x:c>
      <x:c r="D98" s="74" t="str">
        <x:v>Всё тело</x:v>
      </x:c>
    </x:row>
    <x:row r="99">
      <x:c r="A99" s="74" t="str">
        <x:v>yoga</x:v>
      </x:c>
      <x:c r="B99" s="74" t="n">
        <x:v>14</x:v>
      </x:c>
      <x:c r="C99" s="74" t="n">
        <x:v>22</x:v>
      </x:c>
      <x:c r="D99" s="74" t="str">
        <x:v>Расслабление</x:v>
      </x:c>
    </x:row>
    <x:row r="100">
      <x:c r="A100" s="74" t="str">
        <x:v>yoga</x:v>
      </x:c>
      <x:c r="B100" s="74" t="n">
        <x:v>14</x:v>
      </x:c>
      <x:c r="C100" s="74" t="n">
        <x:v>22</x:v>
      </x:c>
      <x:c r="D100" s="74" t="str">
        <x:v>Всё тело</x:v>
      </x:c>
    </x:row>
    <x:row r="101">
      <x:c r="A101" s="74" t="str">
        <x:v>yoga</x:v>
      </x:c>
      <x:c r="B101" s="74" t="n">
        <x:v>15</x:v>
      </x:c>
      <x:c r="C101" s="74" t="n">
        <x:v>15</x:v>
      </x:c>
      <x:c r="D101" s="74" t="str">
        <x:v>Зарядка</x:v>
      </x:c>
    </x:row>
    <x:row r="102">
      <x:c r="A102" s="74" t="str">
        <x:v>yoga</x:v>
      </x:c>
      <x:c r="B102" s="74" t="n">
        <x:v>15</x:v>
      </x:c>
      <x:c r="C102" s="74" t="n">
        <x:v>15</x:v>
      </x:c>
      <x:c r="D102" s="74" t="str">
        <x:v>Всё тело</x:v>
      </x:c>
    </x:row>
    <x:row r="103">
      <x:c r="A103" s="74" t="str">
        <x:v>yoga</x:v>
      </x:c>
      <x:c r="B103" s="74" t="n">
        <x:v>16</x:v>
      </x:c>
      <x:c r="C103" s="74" t="n">
        <x:v>15</x:v>
      </x:c>
      <x:c r="D103" s="74" t="str">
        <x:v>Зарядка</x:v>
      </x:c>
    </x:row>
    <x:row r="104">
      <x:c r="A104" s="74" t="str">
        <x:v>yoga</x:v>
      </x:c>
      <x:c r="B104" s="74" t="n">
        <x:v>16</x:v>
      </x:c>
      <x:c r="C104" s="74" t="n">
        <x:v>15</x:v>
      </x:c>
      <x:c r="D104" s="74" t="str">
        <x:v>Здоровая спина</x:v>
      </x:c>
    </x:row>
    <x:row r="105">
      <x:c r="A105" s="74" t="str">
        <x:v>yoga</x:v>
      </x:c>
      <x:c r="B105" s="74" t="n">
        <x:v>17</x:v>
      </x:c>
      <x:c r="C105" s="74" t="n">
        <x:v>9</x:v>
      </x:c>
      <x:c r="D105" s="74" t="str">
        <x:v>Кор и пресс</x:v>
      </x:c>
    </x:row>
    <x:row r="106">
      <x:c r="A106" s="74" t="str">
        <x:v>yoga</x:v>
      </x:c>
      <x:c r="B106" s="74" t="n">
        <x:v>18</x:v>
      </x:c>
      <x:c r="C106" s="74" t="n">
        <x:v>18</x:v>
      </x:c>
      <x:c r="D106" s="74" t="str">
        <x:v>Зарядка</x:v>
      </x:c>
    </x:row>
    <x:row r="107">
      <x:c r="A107" s="74" t="str">
        <x:v>yoga</x:v>
      </x:c>
      <x:c r="B107" s="74" t="n">
        <x:v>18</x:v>
      </x:c>
      <x:c r="C107" s="74" t="n">
        <x:v>18</x:v>
      </x:c>
      <x:c r="D107" s="74" t="str">
        <x:v>Балансы на руках</x:v>
      </x:c>
    </x:row>
    <x:row r="108">
      <x:c r="A108" s="74" t="str">
        <x:v>yoga</x:v>
      </x:c>
      <x:c r="B108" s="74" t="n">
        <x:v>19</x:v>
      </x:c>
      <x:c r="C108" s="74" t="n">
        <x:v>7</x:v>
      </x:c>
      <x:c r="D108" s="74" t="str">
        <x:v>Зарядка</x:v>
      </x:c>
    </x:row>
    <x:row r="109">
      <x:c r="A109" s="74" t="str">
        <x:v>yoga</x:v>
      </x:c>
      <x:c r="B109" s="74" t="n">
        <x:v>20</x:v>
      </x:c>
      <x:c r="C109" s="74" t="n">
        <x:v>20</x:v>
      </x:c>
      <x:c r="D109" s="74" t="str">
        <x:v>Сильное тело</x:v>
      </x:c>
    </x:row>
    <x:row r="110">
      <x:c r="A110" s="74" t="str">
        <x:v>yoga</x:v>
      </x:c>
      <x:c r="B110" s="74" t="n">
        <x:v>20</x:v>
      </x:c>
      <x:c r="C110" s="74" t="n">
        <x:v>20</x:v>
      </x:c>
      <x:c r="D110" s="74" t="str">
        <x:v>Зарядка</x:v>
      </x:c>
    </x:row>
    <x:row r="111">
      <x:c r="A111" s="74" t="str">
        <x:v>yoga</x:v>
      </x:c>
      <x:c r="B111" s="74" t="n">
        <x:v>20</x:v>
      </x:c>
      <x:c r="C111" s="74" t="n">
        <x:v>20</x:v>
      </x:c>
      <x:c r="D111" s="74" t="str">
        <x:v>Балансы на руках</x:v>
      </x:c>
    </x:row>
    <x:row r="112">
      <x:c r="A112" s="74" t="str">
        <x:v>yoga</x:v>
      </x:c>
      <x:c r="B112" s="74" t="n">
        <x:v>20</x:v>
      </x:c>
      <x:c r="C112" s="74" t="n">
        <x:v>20</x:v>
      </x:c>
      <x:c r="D112" s="74" t="str">
        <x:v>Всё тело</x:v>
      </x:c>
    </x:row>
    <x:row r="113">
      <x:c r="A113" s="74" t="str">
        <x:v>yoga</x:v>
      </x:c>
      <x:c r="B113" s="74" t="n">
        <x:v>21</x:v>
      </x:c>
      <x:c r="C113" s="74" t="n">
        <x:v>18</x:v>
      </x:c>
      <x:c r="D113" s="74" t="str">
        <x:v>Сильное тело</x:v>
      </x:c>
    </x:row>
    <x:row r="114">
      <x:c r="A114" s="74" t="str">
        <x:v>yoga</x:v>
      </x:c>
      <x:c r="B114" s="74" t="n">
        <x:v>21</x:v>
      </x:c>
      <x:c r="C114" s="74" t="n">
        <x:v>18</x:v>
      </x:c>
      <x:c r="D114" s="74" t="str">
        <x:v>Зарядка</x:v>
      </x:c>
    </x:row>
    <x:row r="115">
      <x:c r="A115" s="74" t="str">
        <x:v>yoga</x:v>
      </x:c>
      <x:c r="B115" s="74" t="n">
        <x:v>21</x:v>
      </x:c>
      <x:c r="C115" s="74" t="n">
        <x:v>18</x:v>
      </x:c>
      <x:c r="D115" s="74" t="str">
        <x:v>Здоровая спина</x:v>
      </x:c>
    </x:row>
    <x:row r="116">
      <x:c r="A116" s="74" t="str">
        <x:v>yoga</x:v>
      </x:c>
      <x:c r="B116" s="74" t="n">
        <x:v>22</x:v>
      </x:c>
      <x:c r="C116" s="74" t="n">
        <x:v>15</x:v>
      </x:c>
      <x:c r="D116" s="74" t="str">
        <x:v>Зарядка</x:v>
      </x:c>
    </x:row>
    <x:row r="117">
      <x:c r="A117" s="74" t="str">
        <x:v>yoga</x:v>
      </x:c>
      <x:c r="B117" s="74" t="n">
        <x:v>22</x:v>
      </x:c>
      <x:c r="C117" s="74" t="n">
        <x:v>15</x:v>
      </x:c>
      <x:c r="D117" s="74" t="str">
        <x:v>Всё тело</x:v>
      </x:c>
    </x:row>
    <x:row r="118">
      <x:c r="A118" s="74" t="str">
        <x:v>yoga</x:v>
      </x:c>
      <x:c r="B118" s="74" t="n">
        <x:v>23</x:v>
      </x:c>
      <x:c r="C118" s="74" t="n">
        <x:v>15</x:v>
      </x:c>
      <x:c r="D118" s="74" t="str">
        <x:v>Расслабление</x:v>
      </x:c>
    </x:row>
    <x:row r="119">
      <x:c r="A119" s="74" t="str">
        <x:v>yoga</x:v>
      </x:c>
      <x:c r="B119" s="74" t="n">
        <x:v>23</x:v>
      </x:c>
      <x:c r="C119" s="74" t="n">
        <x:v>15</x:v>
      </x:c>
      <x:c r="D119" s="74" t="str">
        <x:v>Здоровая спина</x:v>
      </x:c>
    </x:row>
    <x:row r="120">
      <x:c r="A120" s="74" t="str">
        <x:v>yoga</x:v>
      </x:c>
      <x:c r="B120" s="74" t="n">
        <x:v>24</x:v>
      </x:c>
      <x:c r="C120" s="74" t="n">
        <x:v>10</x:v>
      </x:c>
      <x:c r="D120" s="74" t="str">
        <x:v>Кор и пресс</x:v>
      </x:c>
    </x:row>
    <x:row r="121">
      <x:c r="A121" s="74" t="str">
        <x:v>yoga</x:v>
      </x:c>
      <x:c r="B121" s="74" t="n">
        <x:v>25</x:v>
      </x:c>
      <x:c r="C121" s="74" t="n">
        <x:v>16</x:v>
      </x:c>
      <x:c r="D121" s="74" t="str">
        <x:v>Зарядка</x:v>
      </x:c>
    </x:row>
    <x:row r="122">
      <x:c r="A122" s="74" t="str">
        <x:v>yoga</x:v>
      </x:c>
      <x:c r="B122" s="74" t="n">
        <x:v>25</x:v>
      </x:c>
      <x:c r="C122" s="74" t="n">
        <x:v>16</x:v>
      </x:c>
      <x:c r="D122" s="74" t="str">
        <x:v>Всё тело</x:v>
      </x:c>
    </x:row>
    <x:row r="123">
      <x:c r="A123" s="74" t="str">
        <x:v>yoga</x:v>
      </x:c>
      <x:c r="B123" s="74" t="n">
        <x:v>26</x:v>
      </x:c>
      <x:c r="C123" s="74" t="n">
        <x:v>13</x:v>
      </x:c>
      <x:c r="D123" s="74" t="str">
        <x:v>Расслабление</x:v>
      </x:c>
    </x:row>
    <x:row r="124">
      <x:c r="A124" s="74" t="str">
        <x:v>yoga</x:v>
      </x:c>
      <x:c r="B124" s="74" t="n">
        <x:v>27</x:v>
      </x:c>
      <x:c r="C124" s="74" t="n">
        <x:v>19</x:v>
      </x:c>
      <x:c r="D124" s="74" t="str">
        <x:v>Зарядка</x:v>
      </x:c>
    </x:row>
    <x:row r="125">
      <x:c r="A125" s="74" t="str">
        <x:v>yoga</x:v>
      </x:c>
      <x:c r="B125" s="74" t="n">
        <x:v>27</x:v>
      </x:c>
      <x:c r="C125" s="74" t="n">
        <x:v>19</x:v>
      </x:c>
      <x:c r="D125" s="74" t="str">
        <x:v>Всё тело</x:v>
      </x:c>
    </x:row>
    <x:row r="126">
      <x:c r="A126" s="74" t="str">
        <x:v>yoga</x:v>
      </x:c>
      <x:c r="B126" s="74" t="n">
        <x:v>28</x:v>
      </x:c>
      <x:c r="C126" s="74" t="n">
        <x:v>24</x:v>
      </x:c>
      <x:c r="D126" s="74" t="str">
        <x:v>Расслабление</x:v>
      </x:c>
    </x:row>
    <x:row r="127">
      <x:c r="A127" s="74" t="str">
        <x:v>yoga</x:v>
      </x:c>
      <x:c r="B127" s="74" t="n">
        <x:v>28</x:v>
      </x:c>
      <x:c r="C127" s="74" t="n">
        <x:v>24</x:v>
      </x:c>
      <x:c r="D127" s="74" t="str">
        <x:v>ТБС и шпагаты</x:v>
      </x:c>
    </x:row>
    <x:row r="128">
      <x:c r="A128" s="74" t="str">
        <x:v>yoga</x:v>
      </x:c>
      <x:c r="B128" s="74" t="n">
        <x:v>54</x:v>
      </x:c>
      <x:c r="C128" s="74" t="n">
        <x:v>15</x:v>
      </x:c>
      <x:c r="D128" s="74" t="str">
        <x:v>Зарядка</x:v>
      </x:c>
    </x:row>
    <x:row r="129">
      <x:c r="A129" s="74" t="str">
        <x:v>yoga</x:v>
      </x:c>
      <x:c r="B129" s="74" t="n">
        <x:v>54</x:v>
      </x:c>
      <x:c r="C129" s="74" t="n">
        <x:v>15</x:v>
      </x:c>
      <x:c r="D129" s="74" t="str">
        <x:v>Всё тело</x:v>
      </x:c>
    </x:row>
    <x:row r="130">
      <x:c r="A130" s="74" t="str">
        <x:v>yoga</x:v>
      </x:c>
      <x:c r="B130" s="74" t="n">
        <x:v>55</x:v>
      </x:c>
      <x:c r="C130" s="74" t="n">
        <x:v>14</x:v>
      </x:c>
      <x:c r="D130" s="74" t="str">
        <x:v>Здоровая спина</x:v>
      </x:c>
    </x:row>
    <x:row r="131">
      <x:c r="A131" s="74" t="str">
        <x:v>yoga</x:v>
      </x:c>
      <x:c r="B131" s="74" t="n">
        <x:v>56</x:v>
      </x:c>
      <x:c r="C131" s="74" t="n">
        <x:v>12</x:v>
      </x:c>
      <x:c r="D131" s="74" t="str">
        <x:v>Расслабление</x:v>
      </x:c>
    </x:row>
    <x:row r="132">
      <x:c r="A132" s="74" t="str">
        <x:v>yoga</x:v>
      </x:c>
      <x:c r="B132" s="74" t="n">
        <x:v>56</x:v>
      </x:c>
      <x:c r="C132" s="74" t="n">
        <x:v>12</x:v>
      </x:c>
      <x:c r="D132" s="74" t="str">
        <x:v>Зарядка</x:v>
      </x:c>
    </x:row>
    <x:row r="133">
      <x:c r="A133" s="74" t="str">
        <x:v>yoga</x:v>
      </x:c>
      <x:c r="B133" s="74" t="n">
        <x:v>56</x:v>
      </x:c>
      <x:c r="C133" s="74" t="n">
        <x:v>12</x:v>
      </x:c>
      <x:c r="D133" s="74" t="str">
        <x:v>ТБС и шпагаты</x:v>
      </x:c>
    </x:row>
    <x:row r="134">
      <x:c r="A134" s="74" t="str">
        <x:v>yoga</x:v>
      </x:c>
      <x:c r="B134" s="74" t="n">
        <x:v>57</x:v>
      </x:c>
      <x:c r="C134" s="74" t="n">
        <x:v>15</x:v>
      </x:c>
      <x:c r="D134" s="74" t="str">
        <x:v>Кор и пресс</x:v>
      </x:c>
    </x:row>
    <x:row r="135">
      <x:c r="A135" s="74" t="str">
        <x:v>yoga</x:v>
      </x:c>
      <x:c r="B135" s="74" t="n">
        <x:v>58</x:v>
      </x:c>
      <x:c r="C135" s="74" t="n">
        <x:v>7</x:v>
      </x:c>
      <x:c r="D135" s="74" t="str">
        <x:v>Зарядка</x:v>
      </x:c>
    </x:row>
    <x:row r="136">
      <x:c r="A136" s="74" t="str">
        <x:v>yoga</x:v>
      </x:c>
      <x:c r="B136" s="74" t="n">
        <x:v>58</x:v>
      </x:c>
      <x:c r="C136" s="74" t="n">
        <x:v>7</x:v>
      </x:c>
      <x:c r="D136" s="74" t="str">
        <x:v>Всё тело</x:v>
      </x:c>
    </x:row>
    <x:row r="137">
      <x:c r="A137" s="74" t="str">
        <x:v>yoga</x:v>
      </x:c>
      <x:c r="B137" s="74" t="n">
        <x:v>59</x:v>
      </x:c>
      <x:c r="C137" s="74" t="n">
        <x:v>20</x:v>
      </x:c>
      <x:c r="D137" s="74" t="str">
        <x:v>Сильное тело</x:v>
      </x:c>
    </x:row>
    <x:row r="138">
      <x:c r="A138" s="74" t="str">
        <x:v>yoga</x:v>
      </x:c>
      <x:c r="B138" s="74" t="n">
        <x:v>59</x:v>
      </x:c>
      <x:c r="C138" s="74" t="n">
        <x:v>20</x:v>
      </x:c>
      <x:c r="D138" s="74" t="str">
        <x:v>Зарядка</x:v>
      </x:c>
    </x:row>
    <x:row r="139">
      <x:c r="A139" s="74" t="str">
        <x:v>yoga</x:v>
      </x:c>
      <x:c r="B139" s="74" t="n">
        <x:v>59</x:v>
      </x:c>
      <x:c r="C139" s="74" t="n">
        <x:v>20</x:v>
      </x:c>
      <x:c r="D139" s="74" t="str">
        <x:v>Балансы на руках</x:v>
      </x:c>
    </x:row>
    <x:row r="140">
      <x:c r="A140" s="74" t="str">
        <x:v>yoga</x:v>
      </x:c>
      <x:c r="B140" s="74" t="n">
        <x:v>59</x:v>
      </x:c>
      <x:c r="C140" s="74" t="n">
        <x:v>20</x:v>
      </x:c>
      <x:c r="D140" s="74" t="str">
        <x:v>Всё тело</x:v>
      </x:c>
    </x:row>
    <x:row r="141">
      <x:c r="A141" s="74" t="str">
        <x:v>yoga</x:v>
      </x:c>
      <x:c r="B141" s="74" t="n">
        <x:v>60</x:v>
      </x:c>
      <x:c r="C141" s="74" t="n">
        <x:v>21</x:v>
      </x:c>
      <x:c r="D141" s="74" t="str">
        <x:v>Расслабление</x:v>
      </x:c>
    </x:row>
    <x:row r="142">
      <x:c r="A142" s="74" t="str">
        <x:v>yoga</x:v>
      </x:c>
      <x:c r="B142" s="74" t="n">
        <x:v>60</x:v>
      </x:c>
      <x:c r="C142" s="74" t="n">
        <x:v>21</x:v>
      </x:c>
      <x:c r="D142" s="74" t="str">
        <x:v>Всё тело</x:v>
      </x:c>
    </x:row>
    <x:row r="143">
      <x:c r="A143" s="74" t="str">
        <x:v>yoga</x:v>
      </x:c>
      <x:c r="B143" s="74" t="n">
        <x:v>61</x:v>
      </x:c>
      <x:c r="C143" s="74" t="n">
        <x:v>14</x:v>
      </x:c>
      <x:c r="D143" s="74" t="str">
        <x:v>Зарядка</x:v>
      </x:c>
    </x:row>
    <x:row r="144">
      <x:c r="A144" s="74" t="str">
        <x:v>yoga</x:v>
      </x:c>
      <x:c r="B144" s="74" t="n">
        <x:v>61</x:v>
      </x:c>
      <x:c r="C144" s="74" t="n">
        <x:v>14</x:v>
      </x:c>
      <x:c r="D144" s="74" t="str">
        <x:v>Всё тело</x:v>
      </x:c>
    </x:row>
    <x:row r="145">
      <x:c r="A145" s="74" t="str">
        <x:v>yoga</x:v>
      </x:c>
      <x:c r="B145" s="74" t="n">
        <x:v>62</x:v>
      </x:c>
      <x:c r="C145" s="74" t="n">
        <x:v>15</x:v>
      </x:c>
      <x:c r="D145" s="74" t="str">
        <x:v>Здоровая спина</x:v>
      </x:c>
    </x:row>
    <x:row r="146">
      <x:c r="A146" s="74" t="str">
        <x:v>yoga</x:v>
      </x:c>
      <x:c r="B146" s="74" t="n">
        <x:v>63</x:v>
      </x:c>
      <x:c r="C146" s="74" t="n">
        <x:v>9</x:v>
      </x:c>
      <x:c r="D146" s="74" t="str">
        <x:v>Кор и пресс</x:v>
      </x:c>
    </x:row>
    <x:row r="147">
      <x:c r="A147" s="74" t="str">
        <x:v>yoga</x:v>
      </x:c>
      <x:c r="B147" s="74" t="n">
        <x:v>64</x:v>
      </x:c>
      <x:c r="C147" s="74" t="n">
        <x:v>17</x:v>
      </x:c>
      <x:c r="D147" s="74" t="str">
        <x:v>Зарядка</x:v>
      </x:c>
    </x:row>
    <x:row r="148">
      <x:c r="A148" s="74" t="str">
        <x:v>yoga</x:v>
      </x:c>
      <x:c r="B148" s="74" t="n">
        <x:v>64</x:v>
      </x:c>
      <x:c r="C148" s="74" t="n">
        <x:v>17</x:v>
      </x:c>
      <x:c r="D148" s="74" t="str">
        <x:v>Всё тело</x:v>
      </x:c>
    </x:row>
    <x:row r="149">
      <x:c r="A149" s="74" t="str">
        <x:v>yoga</x:v>
      </x:c>
      <x:c r="B149" s="74" t="n">
        <x:v>65</x:v>
      </x:c>
      <x:c r="C149" s="74" t="n">
        <x:v>11</x:v>
      </x:c>
      <x:c r="D149" s="74" t="str">
        <x:v>Зарядка</x:v>
      </x:c>
    </x:row>
    <x:row r="150">
      <x:c r="A150" s="74" t="str">
        <x:v>yoga</x:v>
      </x:c>
      <x:c r="B150" s="74" t="n">
        <x:v>65</x:v>
      </x:c>
      <x:c r="C150" s="74" t="n">
        <x:v>11</x:v>
      </x:c>
      <x:c r="D150" s="74" t="str">
        <x:v>Всё тело</x:v>
      </x:c>
    </x:row>
    <x:row r="151">
      <x:c r="A151" s="74" t="str">
        <x:v>yoga</x:v>
      </x:c>
      <x:c r="B151" s="74" t="n">
        <x:v>66</x:v>
      </x:c>
      <x:c r="C151" s="74" t="n">
        <x:v>20</x:v>
      </x:c>
      <x:c r="D151" s="74" t="str">
        <x:v>Расслабление</x:v>
      </x:c>
    </x:row>
    <x:row r="152">
      <x:c r="A152" s="74" t="str">
        <x:v>yoga</x:v>
      </x:c>
      <x:c r="B152" s="74" t="n">
        <x:v>66</x:v>
      </x:c>
      <x:c r="C152" s="74" t="n">
        <x:v>20</x:v>
      </x:c>
      <x:c r="D152" s="74" t="str">
        <x:v>Здоровая спина</x:v>
      </x:c>
    </x:row>
    <x:row r="153">
      <x:c r="A153" s="74" t="str">
        <x:v>yoga</x:v>
      </x:c>
      <x:c r="B153" s="74" t="n">
        <x:v>67</x:v>
      </x:c>
      <x:c r="C153" s="74" t="n">
        <x:v>22</x:v>
      </x:c>
      <x:c r="D153" s="74" t="str">
        <x:v>Расслабление</x:v>
      </x:c>
    </x:row>
    <x:row r="154">
      <x:c r="A154" s="74" t="str">
        <x:v>yoga</x:v>
      </x:c>
      <x:c r="B154" s="74" t="n">
        <x:v>67</x:v>
      </x:c>
      <x:c r="C154" s="74" t="n">
        <x:v>22</x:v>
      </x:c>
      <x:c r="D154" s="74" t="str">
        <x:v>Всё тело</x:v>
      </x:c>
    </x:row>
    <x:row r="155">
      <x:c r="A155" s="74" t="str">
        <x:v>yoga</x:v>
      </x:c>
      <x:c r="B155" s="74" t="n">
        <x:v>68</x:v>
      </x:c>
      <x:c r="C155" s="74" t="n">
        <x:v>13</x:v>
      </x:c>
      <x:c r="D155" s="74" t="str">
        <x:v>Зарядка</x:v>
      </x:c>
    </x:row>
    <x:row r="156">
      <x:c r="A156" s="74" t="str">
        <x:v>yoga</x:v>
      </x:c>
      <x:c r="B156" s="74" t="n">
        <x:v>68</x:v>
      </x:c>
      <x:c r="C156" s="74" t="n">
        <x:v>13</x:v>
      </x:c>
      <x:c r="D156" s="74" t="str">
        <x:v>Всё тело</x:v>
      </x:c>
    </x:row>
    <x:row r="157">
      <x:c r="A157" s="74" t="str">
        <x:v>yoga</x:v>
      </x:c>
      <x:c r="B157" s="74" t="n">
        <x:v>69</x:v>
      </x:c>
      <x:c r="C157" s="74" t="n">
        <x:v>15</x:v>
      </x:c>
      <x:c r="D157" s="74" t="str">
        <x:v>Здоровая спина</x:v>
      </x:c>
    </x:row>
    <x:row r="158">
      <x:c r="A158" s="74" t="str">
        <x:v>yoga</x:v>
      </x:c>
      <x:c r="B158" s="74" t="n">
        <x:v>70</x:v>
      </x:c>
      <x:c r="C158" s="74" t="n">
        <x:v>6</x:v>
      </x:c>
      <x:c r="D158" s="74" t="str">
        <x:v>Зарядка</x:v>
      </x:c>
    </x:row>
    <x:row r="159">
      <x:c r="A159" s="74" t="str">
        <x:v>yoga</x:v>
      </x:c>
      <x:c r="B159" s="74" t="n">
        <x:v>70</x:v>
      </x:c>
      <x:c r="C159" s="74" t="n">
        <x:v>6</x:v>
      </x:c>
      <x:c r="D159" s="74" t="str">
        <x:v>Всё тело</x:v>
      </x:c>
    </x:row>
    <x:row r="160">
      <x:c r="A160" s="74" t="str">
        <x:v>yoga</x:v>
      </x:c>
      <x:c r="B160" s="74" t="n">
        <x:v>71</x:v>
      </x:c>
      <x:c r="C160" s="74" t="n">
        <x:v>15</x:v>
      </x:c>
      <x:c r="D160" s="74" t="str">
        <x:v>Зарядка</x:v>
      </x:c>
    </x:row>
    <x:row r="161">
      <x:c r="A161" s="74" t="str">
        <x:v>yoga</x:v>
      </x:c>
      <x:c r="B161" s="74" t="n">
        <x:v>71</x:v>
      </x:c>
      <x:c r="C161" s="74" t="n">
        <x:v>15</x:v>
      </x:c>
      <x:c r="D161" s="74" t="str">
        <x:v>Всё тело</x:v>
      </x:c>
    </x:row>
    <x:row r="162">
      <x:c r="A162" s="74" t="str">
        <x:v>yoga</x:v>
      </x:c>
      <x:c r="B162" s="74" t="n">
        <x:v>72</x:v>
      </x:c>
      <x:c r="C162" s="74" t="n">
        <x:v>11</x:v>
      </x:c>
      <x:c r="D162" s="74" t="str">
        <x:v>Зарядка</x:v>
      </x:c>
    </x:row>
    <x:row r="163">
      <x:c r="A163" s="74" t="str">
        <x:v>yoga</x:v>
      </x:c>
      <x:c r="B163" s="74" t="n">
        <x:v>72</x:v>
      </x:c>
      <x:c r="C163" s="74" t="n">
        <x:v>11</x:v>
      </x:c>
      <x:c r="D163" s="74" t="str">
        <x:v>Всё тело</x:v>
      </x:c>
    </x:row>
    <x:row r="164">
      <x:c r="A164" s="74" t="str">
        <x:v>yoga</x:v>
      </x:c>
      <x:c r="B164" s="74" t="n">
        <x:v>73</x:v>
      </x:c>
      <x:c r="C164" s="74" t="n">
        <x:v>21</x:v>
      </x:c>
      <x:c r="D164" s="74" t="str">
        <x:v>Сильное тело</x:v>
      </x:c>
    </x:row>
    <x:row r="165">
      <x:c r="A165" s="74" t="str">
        <x:v>yoga</x:v>
      </x:c>
      <x:c r="B165" s="74" t="n">
        <x:v>73</x:v>
      </x:c>
      <x:c r="C165" s="74" t="n">
        <x:v>21</x:v>
      </x:c>
      <x:c r="D165" s="74" t="str">
        <x:v>Зарядка</x:v>
      </x:c>
    </x:row>
    <x:row r="166">
      <x:c r="A166" s="74" t="str">
        <x:v>yoga</x:v>
      </x:c>
      <x:c r="B166" s="74" t="n">
        <x:v>73</x:v>
      </x:c>
      <x:c r="C166" s="74" t="n">
        <x:v>21</x:v>
      </x:c>
      <x:c r="D166" s="74" t="str">
        <x:v>Всё тело</x:v>
      </x:c>
    </x:row>
    <x:row r="167">
      <x:c r="A167" s="74" t="str">
        <x:v>yoga</x:v>
      </x:c>
      <x:c r="B167" s="74" t="n">
        <x:v>74</x:v>
      </x:c>
      <x:c r="C167" s="74" t="n">
        <x:v>24</x:v>
      </x:c>
      <x:c r="D167" s="74" t="str">
        <x:v>Расслабление</x:v>
      </x:c>
    </x:row>
    <x:row r="168">
      <x:c r="A168" s="74" t="str">
        <x:v>yoga</x:v>
      </x:c>
      <x:c r="B168" s="74" t="n">
        <x:v>74</x:v>
      </x:c>
      <x:c r="C168" s="74" t="n">
        <x:v>24</x:v>
      </x:c>
      <x:c r="D168" s="74" t="str">
        <x:v>Всё тело</x:v>
      </x:c>
    </x:row>
    <x:row r="169">
      <x:c r="A169" s="74" t="str">
        <x:v>yoga</x:v>
      </x:c>
      <x:c r="B169" s="74" t="n">
        <x:v>75</x:v>
      </x:c>
      <x:c r="C169" s="74" t="n">
        <x:v>15</x:v>
      </x:c>
      <x:c r="D169" s="74" t="str">
        <x:v>Зарядка</x:v>
      </x:c>
    </x:row>
    <x:row r="170">
      <x:c r="A170" s="74" t="str">
        <x:v>yoga</x:v>
      </x:c>
      <x:c r="B170" s="74" t="n">
        <x:v>75</x:v>
      </x:c>
      <x:c r="C170" s="74" t="n">
        <x:v>15</x:v>
      </x:c>
      <x:c r="D170" s="74" t="str">
        <x:v>Всё тело</x:v>
      </x:c>
    </x:row>
    <x:row r="171">
      <x:c r="A171" s="74" t="str">
        <x:v>yoga</x:v>
      </x:c>
      <x:c r="B171" s="74" t="n">
        <x:v>76</x:v>
      </x:c>
      <x:c r="C171" s="74" t="n">
        <x:v>13</x:v>
      </x:c>
      <x:c r="D171" s="74" t="str">
        <x:v>Расслабление</x:v>
      </x:c>
    </x:row>
    <x:row r="172">
      <x:c r="A172" s="74" t="str">
        <x:v>yoga</x:v>
      </x:c>
      <x:c r="B172" s="74" t="n">
        <x:v>76</x:v>
      </x:c>
      <x:c r="C172" s="74" t="n">
        <x:v>13</x:v>
      </x:c>
      <x:c r="D172" s="74" t="str">
        <x:v>Здоровая спина</x:v>
      </x:c>
    </x:row>
    <x:row r="173">
      <x:c r="A173" s="74" t="str">
        <x:v>yoga</x:v>
      </x:c>
      <x:c r="B173" s="74" t="n">
        <x:v>77</x:v>
      </x:c>
      <x:c r="C173" s="74" t="n">
        <x:v>9</x:v>
      </x:c>
      <x:c r="D173" s="74" t="str">
        <x:v>Кор и пресс</x:v>
      </x:c>
    </x:row>
    <x:row r="174">
      <x:c r="A174" s="74" t="str">
        <x:v>yoga</x:v>
      </x:c>
      <x:c r="B174" s="74" t="n">
        <x:v>78</x:v>
      </x:c>
      <x:c r="C174" s="74" t="n">
        <x:v>17</x:v>
      </x:c>
      <x:c r="D174" s="74" t="str">
        <x:v>Сильное тело</x:v>
      </x:c>
    </x:row>
    <x:row r="175">
      <x:c r="A175" s="74" t="str">
        <x:v>yoga</x:v>
      </x:c>
      <x:c r="B175" s="74" t="n">
        <x:v>79</x:v>
      </x:c>
      <x:c r="C175" s="74" t="n">
        <x:v>10</x:v>
      </x:c>
      <x:c r="D175" s="74" t="str">
        <x:v>Зарядка</x:v>
      </x:c>
    </x:row>
    <x:row r="176">
      <x:c r="A176" s="74" t="str">
        <x:v>yoga</x:v>
      </x:c>
      <x:c r="B176" s="74" t="n">
        <x:v>80</x:v>
      </x:c>
      <x:c r="C176" s="74" t="n">
        <x:v>23</x:v>
      </x:c>
      <x:c r="D176" s="74" t="str">
        <x:v>Сильное тело</x:v>
      </x:c>
    </x:row>
    <x:row r="177">
      <x:c r="A177" s="74" t="str">
        <x:v>yoga</x:v>
      </x:c>
      <x:c r="B177" s="74" t="n">
        <x:v>80</x:v>
      </x:c>
      <x:c r="C177" s="74" t="n">
        <x:v>23</x:v>
      </x:c>
      <x:c r="D177" s="74" t="str">
        <x:v>Балансы на руках</x:v>
      </x:c>
    </x:row>
    <x:row r="178">
      <x:c r="A178" s="74" t="str">
        <x:v>yoga</x:v>
      </x:c>
      <x:c r="B178" s="74" t="n">
        <x:v>81</x:v>
      </x:c>
      <x:c r="C178" s="74" t="n">
        <x:v>25</x:v>
      </x:c>
      <x:c r="D178" s="74" t="str">
        <x:v>Расслабление</x:v>
      </x:c>
    </x:row>
    <x:row r="179">
      <x:c r="A179" s="74" t="str">
        <x:v>yoga</x:v>
      </x:c>
      <x:c r="B179" s="74" t="n">
        <x:v>81</x:v>
      </x:c>
      <x:c r="C179" s="74" t="n">
        <x:v>25</x:v>
      </x:c>
      <x:c r="D179" s="74" t="str">
        <x:v>Здоровая спина</x:v>
      </x:c>
    </x:row>
    <x:row r="180">
      <x:c r="A180" s="74" t="str">
        <x:v>yoga</x:v>
      </x:c>
      <x:c r="B180" s="74" t="n">
        <x:v>93</x:v>
      </x:c>
      <x:c r="C180" s="74" t="n">
        <x:v>10</x:v>
      </x:c>
      <x:c r="D180" s="74" t="str">
        <x:v>Зарядка</x:v>
      </x:c>
    </x:row>
    <x:row r="181">
      <x:c r="A181" s="74" t="str">
        <x:v>yoga</x:v>
      </x:c>
      <x:c r="B181" s="74" t="n">
        <x:v>93</x:v>
      </x:c>
      <x:c r="C181" s="74" t="n">
        <x:v>10</x:v>
      </x:c>
      <x:c r="D181" s="74" t="str">
        <x:v>Всё тело</x:v>
      </x:c>
    </x:row>
    <x:row r="182">
      <x:c r="A182" s="74" t="str">
        <x:v>yoga</x:v>
      </x:c>
      <x:c r="B182" s="74" t="n">
        <x:v>94</x:v>
      </x:c>
      <x:c r="C182" s="74" t="n">
        <x:v>19</x:v>
      </x:c>
      <x:c r="D182" s="74" t="str">
        <x:v>Здоровая спина</x:v>
      </x:c>
    </x:row>
    <x:row r="183">
      <x:c r="A183" s="74" t="str">
        <x:v>yoga</x:v>
      </x:c>
      <x:c r="B183" s="74" t="n">
        <x:v>95</x:v>
      </x:c>
      <x:c r="C183" s="74" t="n">
        <x:v>9</x:v>
      </x:c>
      <x:c r="D183" s="74" t="str">
        <x:v>Кор и пресс</x:v>
      </x:c>
    </x:row>
    <x:row r="184">
      <x:c r="A184" s="74" t="str">
        <x:v>yoga</x:v>
      </x:c>
      <x:c r="B184" s="74" t="n">
        <x:v>96</x:v>
      </x:c>
      <x:c r="C184" s="74" t="n">
        <x:v>14</x:v>
      </x:c>
      <x:c r="D184" s="74" t="str">
        <x:v>Зарядка</x:v>
      </x:c>
    </x:row>
    <x:row r="185">
      <x:c r="A185" s="74" t="str">
        <x:v>yoga</x:v>
      </x:c>
      <x:c r="B185" s="74" t="n">
        <x:v>96</x:v>
      </x:c>
      <x:c r="C185" s="74" t="n">
        <x:v>14</x:v>
      </x:c>
      <x:c r="D185" s="74" t="str">
        <x:v>Всё тело</x:v>
      </x:c>
    </x:row>
    <x:row r="186">
      <x:c r="A186" s="74" t="str">
        <x:v>yoga</x:v>
      </x:c>
      <x:c r="B186" s="74" t="n">
        <x:v>97</x:v>
      </x:c>
      <x:c r="C186" s="74" t="n">
        <x:v>16</x:v>
      </x:c>
      <x:c r="D186" s="74" t="str">
        <x:v>Расслабление</x:v>
      </x:c>
    </x:row>
    <x:row r="187">
      <x:c r="A187" s="74" t="str">
        <x:v>yoga</x:v>
      </x:c>
      <x:c r="B187" s="74" t="n">
        <x:v>98</x:v>
      </x:c>
      <x:c r="C187" s="74" t="n">
        <x:v>26</x:v>
      </x:c>
      <x:c r="D187" s="74" t="str">
        <x:v>Кор и пресс</x:v>
      </x:c>
    </x:row>
    <x:row r="188">
      <x:c r="A188" s="74" t="str">
        <x:v>yoga</x:v>
      </x:c>
      <x:c r="B188" s="74" t="n">
        <x:v>99</x:v>
      </x:c>
      <x:c r="C188" s="74" t="n">
        <x:v>22</x:v>
      </x:c>
      <x:c r="D188" s="74" t="str">
        <x:v>Расслабление</x:v>
      </x:c>
    </x:row>
    <x:row r="189">
      <x:c r="A189" s="74" t="str">
        <x:v>yoga</x:v>
      </x:c>
      <x:c r="B189" s="74" t="n">
        <x:v>99</x:v>
      </x:c>
      <x:c r="C189" s="74" t="n">
        <x:v>22</x:v>
      </x:c>
      <x:c r="D189" s="74" t="str">
        <x:v>ТБС и шпагаты</x:v>
      </x:c>
    </x:row>
    <x:row r="190">
      <x:c r="A190" s="74" t="str">
        <x:v>yoga</x:v>
      </x:c>
      <x:c r="B190" s="74" t="n">
        <x:v>100</x:v>
      </x:c>
      <x:c r="C190" s="74" t="n">
        <x:v>12</x:v>
      </x:c>
      <x:c r="D190" s="74" t="str">
        <x:v>Зарядка</x:v>
      </x:c>
    </x:row>
    <x:row r="191">
      <x:c r="A191" s="74" t="str">
        <x:v>yoga</x:v>
      </x:c>
      <x:c r="B191" s="74" t="n">
        <x:v>100</x:v>
      </x:c>
      <x:c r="C191" s="74" t="n">
        <x:v>12</x:v>
      </x:c>
      <x:c r="D191" s="74" t="str">
        <x:v>Всё тело</x:v>
      </x:c>
    </x:row>
    <x:row r="192">
      <x:c r="A192" s="74" t="str">
        <x:v>yoga</x:v>
      </x:c>
      <x:c r="B192" s="74" t="n">
        <x:v>101</x:v>
      </x:c>
      <x:c r="C192" s="74" t="n">
        <x:v>16</x:v>
      </x:c>
      <x:c r="D192" s="74" t="str">
        <x:v>Здоровая спина</x:v>
      </x:c>
    </x:row>
    <x:row r="193">
      <x:c r="A193" s="74" t="str">
        <x:v>yoga</x:v>
      </x:c>
      <x:c r="B193" s="74" t="n">
        <x:v>102</x:v>
      </x:c>
      <x:c r="C193" s="74" t="n">
        <x:v>7</x:v>
      </x:c>
      <x:c r="D193" s="74" t="str">
        <x:v>Сильное тело</x:v>
      </x:c>
    </x:row>
    <x:row r="194">
      <x:c r="A194" s="74" t="str">
        <x:v>yoga</x:v>
      </x:c>
      <x:c r="B194" s="74" t="n">
        <x:v>102</x:v>
      </x:c>
      <x:c r="C194" s="74" t="n">
        <x:v>7</x:v>
      </x:c>
      <x:c r="D194" s="74" t="str">
        <x:v>Зарядка</x:v>
      </x:c>
    </x:row>
    <x:row r="195">
      <x:c r="A195" s="74" t="str">
        <x:v>yoga</x:v>
      </x:c>
      <x:c r="B195" s="74" t="n">
        <x:v>102</x:v>
      </x:c>
      <x:c r="C195" s="74" t="n">
        <x:v>7</x:v>
      </x:c>
      <x:c r="D195" s="74" t="str">
        <x:v>Кор и пресс</x:v>
      </x:c>
    </x:row>
    <x:row r="196">
      <x:c r="A196" s="74" t="str">
        <x:v>yoga</x:v>
      </x:c>
      <x:c r="B196" s="74" t="n">
        <x:v>103</x:v>
      </x:c>
      <x:c r="C196" s="74" t="n">
        <x:v>17</x:v>
      </x:c>
      <x:c r="D196" s="74" t="str">
        <x:v>Сильные ноги</x:v>
      </x:c>
    </x:row>
    <x:row r="197">
      <x:c r="A197" s="74" t="str">
        <x:v>yoga</x:v>
      </x:c>
      <x:c r="B197" s="74" t="n">
        <x:v>103</x:v>
      </x:c>
      <x:c r="C197" s="74" t="n">
        <x:v>17</x:v>
      </x:c>
      <x:c r="D197" s="74" t="str">
        <x:v>Всё тело</x:v>
      </x:c>
    </x:row>
    <x:row r="198">
      <x:c r="A198" s="74" t="str">
        <x:v>yoga</x:v>
      </x:c>
      <x:c r="B198" s="74" t="n">
        <x:v>104</x:v>
      </x:c>
      <x:c r="C198" s="74" t="n">
        <x:v>5</x:v>
      </x:c>
      <x:c r="D198" s="74" t="str">
        <x:v>Зарядка</x:v>
      </x:c>
    </x:row>
    <x:row r="199">
      <x:c r="A199" s="74" t="str">
        <x:v>yoga</x:v>
      </x:c>
      <x:c r="B199" s="74" t="n">
        <x:v>104</x:v>
      </x:c>
      <x:c r="C199" s="74" t="n">
        <x:v>5</x:v>
      </x:c>
      <x:c r="D199" s="74" t="str">
        <x:v>Всё тело</x:v>
      </x:c>
    </x:row>
    <x:row r="200">
      <x:c r="A200" s="74" t="str">
        <x:v>yoga</x:v>
      </x:c>
      <x:c r="B200" s="74" t="n">
        <x:v>105</x:v>
      </x:c>
      <x:c r="C200" s="74" t="n">
        <x:v>21</x:v>
      </x:c>
      <x:c r="D200" s="74" t="str">
        <x:v>Сильное тело</x:v>
      </x:c>
    </x:row>
    <x:row r="201">
      <x:c r="A201" s="74" t="str">
        <x:v>yoga</x:v>
      </x:c>
      <x:c r="B201" s="74" t="n">
        <x:v>105</x:v>
      </x:c>
      <x:c r="C201" s="74" t="n">
        <x:v>21</x:v>
      </x:c>
      <x:c r="D201" s="74" t="str">
        <x:v>Зарядка</x:v>
      </x:c>
    </x:row>
    <x:row r="202">
      <x:c r="A202" s="74" t="str">
        <x:v>yoga</x:v>
      </x:c>
      <x:c r="B202" s="74" t="n">
        <x:v>105</x:v>
      </x:c>
      <x:c r="C202" s="74" t="n">
        <x:v>21</x:v>
      </x:c>
      <x:c r="D202" s="74" t="str">
        <x:v>Здоровая спина</x:v>
      </x:c>
    </x:row>
    <x:row r="203">
      <x:c r="A203" s="75" t="str">
        <x:v>yoga</x:v>
      </x:c>
      <x:c r="B203" s="75" t="n">
        <x:v>106</x:v>
      </x:c>
      <x:c r="C203" s="75" t="n">
        <x:v>20</x:v>
      </x:c>
      <x:c r="D203" s="75" t="str">
        <x:v>Расслабление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bc608f6ad7c44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</x:cols>
  <x:sheetData>
    <x:row r="1" ht="32" customHeight="1">
      <x:c r="A1" s="76" t="str">
        <x:v>Покрытие: время × teg</x:v>
      </x:c>
      <x:c r="B1" s="76"/>
      <x:c r="C1" s="76"/>
      <x:c r="D1" s="76"/>
      <x:c r="E1" s="76"/>
      <x:c r="F1" s="76"/>
      <x:c r="G1" s="76"/>
      <x:c r="H1" s="76"/>
      <x:c r="I1" s="76"/>
      <x:c r="J1" s="76"/>
    </x:row>
    <x:row r="2" ht="34" customHeight="1">
      <x:c r="A2" s="78" t="str">
        <x:v>Матрица использует реальные интервалы сценария «САМ решу». Ноль означает, что такой teg не нужно показывать после выбора времени. Значения 1–2 отмечены как малое покрытие.</x:v>
      </x:c>
      <x:c r="B2" s="78"/>
      <x:c r="C2" s="78"/>
      <x:c r="D2" s="78"/>
      <x:c r="E2" s="78"/>
      <x:c r="F2" s="78"/>
      <x:c r="G2" s="78"/>
      <x:c r="H2" s="78"/>
      <x:c r="I2" s="78"/>
      <x:c r="J2" s="78"/>
    </x:row>
    <x:row r="4">
      <x:c r="A4" s="81" t="str">
        <x:v>Сочетаний</x:v>
      </x:c>
      <x:c r="B4" s="81"/>
      <x:c r="C4" s="81"/>
      <x:c r="D4" s="81" t="str">
        <x:v>Нулевая выдача</x:v>
      </x:c>
      <x:c r="E4" s="81"/>
      <x:c r="F4" s="81"/>
      <x:c r="G4" s="81" t="str">
        <x:v>Малое покрытие (1–2)</x:v>
      </x:c>
      <x:c r="H4" s="81"/>
      <x:c r="I4" s="81"/>
      <x:c r="J4" s="81"/>
    </x:row>
    <x:row r="5">
      <x:c r="A5" s="96" t="n">
        <x:f>ROWS($B$9:$I$14)*COLUMNS($B$9:$I$14)</x:f>
        <x:v>48</x:v>
      </x:c>
      <x:c r="B5" s="97"/>
      <x:c r="C5" s="98"/>
      <x:c r="D5" s="96" t="n">
        <x:f>COUNTIF($B$9:$I$14,0)</x:f>
        <x:v>8</x:v>
      </x:c>
      <x:c r="E5" s="97"/>
      <x:c r="F5" s="98"/>
      <x:c r="G5" s="96" t="n">
        <x:f>COUNTIF($B$9:$I$14,"&lt;=2")-COUNTIF($B$9:$I$14,0)</x:f>
        <x:v>14</x:v>
      </x:c>
      <x:c r="H5" s="97"/>
      <x:c r="I5" s="97"/>
      <x:c r="J5" s="98"/>
    </x:row>
    <x:row r="6">
      <x:c r="A6" s="99"/>
      <x:c r="B6" s="100"/>
      <x:c r="C6" s="101"/>
      <x:c r="D6" s="99"/>
      <x:c r="E6" s="100"/>
      <x:c r="F6" s="101"/>
      <x:c r="G6" s="99"/>
      <x:c r="H6" s="100"/>
      <x:c r="I6" s="100"/>
      <x:c r="J6" s="101"/>
    </x:row>
    <x:row r="8" ht="42" customHeight="1">
      <x:c r="A8" s="111" t="str">
        <x:v>Время</x:v>
      </x:c>
      <x:c r="B8" s="112" t="str">
        <x:v>Сильное тело</x:v>
      </x:c>
      <x:c r="C8" s="112" t="str">
        <x:v>Расслабление</x:v>
      </x:c>
      <x:c r="D8" s="112" t="str">
        <x:v>Зарядка</x:v>
      </x:c>
      <x:c r="E8" s="112" t="str">
        <x:v>Здоровая спина</x:v>
      </x:c>
      <x:c r="F8" s="112" t="str">
        <x:v>Кор и пресс</x:v>
      </x:c>
      <x:c r="G8" s="112" t="str">
        <x:v>Балансы на руках</x:v>
      </x:c>
      <x:c r="H8" s="112" t="str">
        <x:v>ТБС и шпагаты</x:v>
      </x:c>
      <x:c r="I8" s="112" t="str">
        <x:v>Всё тело</x:v>
      </x:c>
      <x:c r="J8" s="113" t="str">
        <x:v>Доступно teg</x:v>
      </x:c>
    </x:row>
    <x:row r="9" ht="28" customHeight="1">
      <x:c r="A9" s="121" t="str">
        <x:v>до 10</x:v>
      </x:c>
      <x:c r="B9" s="121" t="n">
        <x:f>COUNTIFS('Teg long'!$C$5:$C$203,"&gt;0",'Teg long'!$C$5:$C$203,"&lt;=10",'Teg long'!$D$5:$D$203,"Сильное тело")</x:f>
        <x:v>1</x:v>
      </x:c>
      <x:c r="C9" s="121" t="n">
        <x:f>COUNTIFS('Teg long'!$C$5:$C$203,"&gt;0",'Teg long'!$C$5:$C$203,"&lt;=10",'Teg long'!$D$5:$D$203,"Расслабление")</x:f>
        <x:v>0</x:v>
      </x:c>
      <x:c r="D9" s="121" t="n">
        <x:f>COUNTIFS('Teg long'!$C$5:$C$203,"&gt;0",'Teg long'!$C$5:$C$203,"&lt;=10",'Teg long'!$D$5:$D$203,"Зарядка")</x:f>
        <x:v>10</x:v>
      </x:c>
      <x:c r="E9" s="121" t="n">
        <x:f>COUNTIFS('Teg long'!$C$5:$C$203,"&gt;0",'Teg long'!$C$5:$C$203,"&lt;=10",'Teg long'!$D$5:$D$203,"Здоровая спина")</x:f>
        <x:v>1</x:v>
      </x:c>
      <x:c r="F9" s="121" t="n">
        <x:f>COUNTIFS('Teg long'!$C$5:$C$203,"&gt;0",'Teg long'!$C$5:$C$203,"&lt;=10",'Teg long'!$D$5:$D$203,"Кор и пресс")</x:f>
        <x:v>6</x:v>
      </x:c>
      <x:c r="G9" s="121" t="n">
        <x:f>COUNTIFS('Teg long'!$C$5:$C$203,"&gt;0",'Teg long'!$C$5:$C$203,"&lt;=10",'Teg long'!$D$5:$D$203,"Балансы на руках")</x:f>
        <x:v>0</x:v>
      </x:c>
      <x:c r="H9" s="121" t="n">
        <x:f>COUNTIFS('Teg long'!$C$5:$C$203,"&gt;0",'Teg long'!$C$5:$C$203,"&lt;=10",'Teg long'!$D$5:$D$203,"ТБС и шпагаты")</x:f>
        <x:v>0</x:v>
      </x:c>
      <x:c r="I9" s="121" t="n">
        <x:f>COUNTIFS('Teg long'!$C$5:$C$203,"&gt;0",'Teg long'!$C$5:$C$203,"&lt;=10",'Teg long'!$D$5:$D$203,"Всё тело")</x:f>
        <x:v>6</x:v>
      </x:c>
      <x:c r="J9" s="121" t="n">
        <x:f>COUNTIF(B9:I9,"&gt;0")</x:f>
        <x:v>5</x:v>
      </x:c>
    </x:row>
    <x:row r="10" ht="28" customHeight="1">
      <x:c r="A10" s="122" t="str">
        <x:v>10–15</x:v>
      </x:c>
      <x:c r="B10" s="122" t="n">
        <x:f>COUNTIFS('Teg long'!$C$5:$C$203,"&gt;10",'Teg long'!$C$5:$C$203,"&lt;=15",'Teg long'!$D$5:$D$203,"Сильное тело")</x:f>
        <x:v>0</x:v>
      </x:c>
      <x:c r="C10" s="122" t="n">
        <x:f>COUNTIFS('Teg long'!$C$5:$C$203,"&gt;10",'Teg long'!$C$5:$C$203,"&lt;=15",'Teg long'!$D$5:$D$203,"Расслабление")</x:f>
        <x:v>7</x:v>
      </x:c>
      <x:c r="D10" s="122" t="n">
        <x:f>COUNTIFS('Teg long'!$C$5:$C$203,"&gt;10",'Teg long'!$C$5:$C$203,"&lt;=15",'Teg long'!$D$5:$D$203,"Зарядка")</x:f>
        <x:v>18</x:v>
      </x:c>
      <x:c r="E10" s="122" t="n">
        <x:f>COUNTIFS('Teg long'!$C$5:$C$203,"&gt;10",'Teg long'!$C$5:$C$203,"&lt;=15",'Teg long'!$D$5:$D$203,"Здоровая спина")</x:f>
        <x:v>8</x:v>
      </x:c>
      <x:c r="F10" s="122" t="n">
        <x:f>COUNTIFS('Teg long'!$C$5:$C$203,"&gt;10",'Teg long'!$C$5:$C$203,"&lt;=15",'Teg long'!$D$5:$D$203,"Кор и пресс")</x:f>
        <x:v>2</x:v>
      </x:c>
      <x:c r="G10" s="122" t="n">
        <x:f>COUNTIFS('Teg long'!$C$5:$C$203,"&gt;10",'Teg long'!$C$5:$C$203,"&lt;=15",'Teg long'!$D$5:$D$203,"Балансы на руках")</x:f>
        <x:v>0</x:v>
      </x:c>
      <x:c r="H10" s="122" t="n">
        <x:f>COUNTIFS('Teg long'!$C$5:$C$203,"&gt;10",'Teg long'!$C$5:$C$203,"&lt;=15",'Teg long'!$D$5:$D$203,"ТБС и шпагаты")</x:f>
        <x:v>1</x:v>
      </x:c>
      <x:c r="I10" s="122" t="n">
        <x:f>COUNTIFS('Teg long'!$C$5:$C$203,"&gt;10",'Teg long'!$C$5:$C$203,"&lt;=15",'Teg long'!$D$5:$D$203,"Всё тело")</x:f>
        <x:v>16</x:v>
      </x:c>
      <x:c r="J10" s="122" t="n">
        <x:f>COUNTIF(B10:I10,"&gt;0")</x:f>
        <x:v>6</x:v>
      </x:c>
    </x:row>
    <x:row r="11" ht="28" customHeight="1">
      <x:c r="A11" s="122" t="str">
        <x:v>15–20</x:v>
      </x:c>
      <x:c r="B11" s="122" t="n">
        <x:f>COUNTIFS('Teg long'!$C$5:$C$203,"&gt;15",'Teg long'!$C$5:$C$203,"&lt;=20",'Teg long'!$D$5:$D$203,"Сильное тело")</x:f>
        <x:v>6</x:v>
      </x:c>
      <x:c r="C11" s="122" t="n">
        <x:f>COUNTIFS('Teg long'!$C$5:$C$203,"&gt;15",'Teg long'!$C$5:$C$203,"&lt;=20",'Teg long'!$D$5:$D$203,"Расслабление")</x:f>
        <x:v>4</x:v>
      </x:c>
      <x:c r="D11" s="122" t="n">
        <x:f>COUNTIFS('Teg long'!$C$5:$C$203,"&gt;15",'Teg long'!$C$5:$C$203,"&lt;=20",'Teg long'!$D$5:$D$203,"Зарядка")</x:f>
        <x:v>9</x:v>
      </x:c>
      <x:c r="E11" s="122" t="n">
        <x:f>COUNTIFS('Teg long'!$C$5:$C$203,"&gt;15",'Teg long'!$C$5:$C$203,"&lt;=20",'Teg long'!$D$5:$D$203,"Здоровая спина")</x:f>
        <x:v>5</x:v>
      </x:c>
      <x:c r="F11" s="122" t="n">
        <x:f>COUNTIFS('Teg long'!$C$5:$C$203,"&gt;15",'Teg long'!$C$5:$C$203,"&lt;=20",'Teg long'!$D$5:$D$203,"Кор и пресс")</x:f>
        <x:v>1</x:v>
      </x:c>
      <x:c r="G11" s="122" t="n">
        <x:f>COUNTIFS('Teg long'!$C$5:$C$203,"&gt;15",'Teg long'!$C$5:$C$203,"&lt;=20",'Teg long'!$D$5:$D$203,"Балансы на руках")</x:f>
        <x:v>4</x:v>
      </x:c>
      <x:c r="H11" s="122" t="n">
        <x:f>COUNTIFS('Teg long'!$C$5:$C$203,"&gt;15",'Teg long'!$C$5:$C$203,"&lt;=20",'Teg long'!$D$5:$D$203,"ТБС и шпагаты")</x:f>
        <x:v>0</x:v>
      </x:c>
      <x:c r="I11" s="122" t="n">
        <x:f>COUNTIFS('Teg long'!$C$5:$C$203,"&gt;15",'Teg long'!$C$5:$C$203,"&lt;=20",'Teg long'!$D$5:$D$203,"Всё тело")</x:f>
        <x:v>9</x:v>
      </x:c>
      <x:c r="J11" s="122" t="n">
        <x:f>COUNTIF(B11:I11,"&gt;0")</x:f>
        <x:v>7</x:v>
      </x:c>
    </x:row>
    <x:row r="12" ht="28" customHeight="1">
      <x:c r="A12" s="122" t="str">
        <x:v>20–30</x:v>
      </x:c>
      <x:c r="B12" s="122" t="n">
        <x:f>COUNTIFS('Teg long'!$C$5:$C$203,"&gt;20",'Teg long'!$C$5:$C$203,"&lt;=30",'Teg long'!$D$5:$D$203,"Сильное тело")</x:f>
        <x:v>9</x:v>
      </x:c>
      <x:c r="C12" s="122" t="n">
        <x:f>COUNTIFS('Teg long'!$C$5:$C$203,"&gt;20",'Teg long'!$C$5:$C$203,"&lt;=30",'Teg long'!$D$5:$D$203,"Расслабление")</x:f>
        <x:v>11</x:v>
      </x:c>
      <x:c r="D12" s="122" t="n">
        <x:f>COUNTIFS('Teg long'!$C$5:$C$203,"&gt;20",'Teg long'!$C$5:$C$203,"&lt;=30",'Teg long'!$D$5:$D$203,"Зарядка")</x:f>
        <x:v>5</x:v>
      </x:c>
      <x:c r="E12" s="122" t="n">
        <x:f>COUNTIFS('Teg long'!$C$5:$C$203,"&gt;20",'Teg long'!$C$5:$C$203,"&lt;=30",'Teg long'!$D$5:$D$203,"Здоровая спина")</x:f>
        <x:v>3</x:v>
      </x:c>
      <x:c r="F12" s="122" t="n">
        <x:f>COUNTIFS('Teg long'!$C$5:$C$203,"&gt;20",'Teg long'!$C$5:$C$203,"&lt;=30",'Teg long'!$D$5:$D$203,"Кор и пресс")</x:f>
        <x:v>3</x:v>
      </x:c>
      <x:c r="G12" s="122" t="n">
        <x:f>COUNTIFS('Teg long'!$C$5:$C$203,"&gt;20",'Teg long'!$C$5:$C$203,"&lt;=30",'Teg long'!$D$5:$D$203,"Балансы на руках")</x:f>
        <x:v>2</x:v>
      </x:c>
      <x:c r="H12" s="122" t="n">
        <x:f>COUNTIFS('Teg long'!$C$5:$C$203,"&gt;20",'Teg long'!$C$5:$C$203,"&lt;=30",'Teg long'!$D$5:$D$203,"ТБС и шпагаты")</x:f>
        <x:v>4</x:v>
      </x:c>
      <x:c r="I12" s="122" t="n">
        <x:f>COUNTIFS('Teg long'!$C$5:$C$203,"&gt;20",'Teg long'!$C$5:$C$203,"&lt;=30",'Teg long'!$D$5:$D$203,"Всё тело")</x:f>
        <x:v>8</x:v>
      </x:c>
      <x:c r="J12" s="122" t="n">
        <x:f>COUNTIF(B12:I12,"&gt;0")</x:f>
        <x:v>8</x:v>
      </x:c>
    </x:row>
    <x:row r="13" ht="28" customHeight="1">
      <x:c r="A13" s="122" t="str">
        <x:v>30–45</x:v>
      </x:c>
      <x:c r="B13" s="122" t="n">
        <x:f>COUNTIFS('Teg long'!$C$5:$C$203,"&gt;30",'Teg long'!$C$5:$C$203,"&lt;=45",'Teg long'!$D$5:$D$203,"Сильное тело")</x:f>
        <x:v>4</x:v>
      </x:c>
      <x:c r="C13" s="122" t="n">
        <x:f>COUNTIFS('Teg long'!$C$5:$C$203,"&gt;30",'Teg long'!$C$5:$C$203,"&lt;=45",'Teg long'!$D$5:$D$203,"Расслабление")</x:f>
        <x:v>3</x:v>
      </x:c>
      <x:c r="D13" s="122" t="n">
        <x:f>COUNTIFS('Teg long'!$C$5:$C$203,"&gt;30",'Teg long'!$C$5:$C$203,"&lt;=45",'Teg long'!$D$5:$D$203,"Зарядка")</x:f>
        <x:v>2</x:v>
      </x:c>
      <x:c r="E13" s="122" t="n">
        <x:f>COUNTIFS('Teg long'!$C$5:$C$203,"&gt;30",'Teg long'!$C$5:$C$203,"&lt;=45",'Teg long'!$D$5:$D$203,"Здоровая спина")</x:f>
        <x:v>0</x:v>
      </x:c>
      <x:c r="F13" s="122" t="n">
        <x:f>COUNTIFS('Teg long'!$C$5:$C$203,"&gt;30",'Teg long'!$C$5:$C$203,"&lt;=45",'Teg long'!$D$5:$D$203,"Кор и пресс")</x:f>
        <x:v>2</x:v>
      </x:c>
      <x:c r="G13" s="122" t="n">
        <x:f>COUNTIFS('Teg long'!$C$5:$C$203,"&gt;30",'Teg long'!$C$5:$C$203,"&lt;=45",'Teg long'!$D$5:$D$203,"Балансы на руках")</x:f>
        <x:v>1</x:v>
      </x:c>
      <x:c r="H13" s="122" t="n">
        <x:f>COUNTIFS('Teg long'!$C$5:$C$203,"&gt;30",'Teg long'!$C$5:$C$203,"&lt;=45",'Teg long'!$D$5:$D$203,"ТБС и шпагаты")</x:f>
        <x:v>2</x:v>
      </x:c>
      <x:c r="I13" s="122" t="n">
        <x:f>COUNTIFS('Teg long'!$C$5:$C$203,"&gt;30",'Teg long'!$C$5:$C$203,"&lt;=45",'Teg long'!$D$5:$D$203,"Всё тело")</x:f>
        <x:v>8</x:v>
      </x:c>
      <x:c r="J13" s="122" t="n">
        <x:f>COUNTIF(B13:I13,"&gt;0")</x:f>
        <x:v>7</x:v>
      </x:c>
    </x:row>
    <x:row r="14" ht="28" customHeight="1">
      <x:c r="A14" s="123" t="str">
        <x:v>45+</x:v>
      </x:c>
      <x:c r="B14" s="123" t="n">
        <x:f>COUNTIFS('Teg long'!$C$5:$C$203,"&gt;45",'Teg long'!$D$5:$D$203,"Сильное тело")</x:f>
        <x:v>4</x:v>
      </x:c>
      <x:c r="C14" s="123" t="n">
        <x:f>COUNTIFS('Teg long'!$C$5:$C$203,"&gt;45",'Teg long'!$D$5:$D$203,"Расслабление")</x:f>
        <x:v>3</x:v>
      </x:c>
      <x:c r="D14" s="123" t="n">
        <x:f>COUNTIFS('Teg long'!$C$5:$C$203,"&gt;45",'Teg long'!$D$5:$D$203,"Зарядка")</x:f>
        <x:v>0</x:v>
      </x:c>
      <x:c r="E14" s="123" t="n">
        <x:f>COUNTIFS('Teg long'!$C$5:$C$203,"&gt;45",'Teg long'!$D$5:$D$203,"Здоровая спина")</x:f>
        <x:v>1</x:v>
      </x:c>
      <x:c r="F14" s="123" t="n">
        <x:f>COUNTIFS('Teg long'!$C$5:$C$203,"&gt;45",'Teg long'!$D$5:$D$203,"Кор и пресс")</x:f>
        <x:v>1</x:v>
      </x:c>
      <x:c r="G14" s="123" t="n">
        <x:f>COUNTIFS('Teg long'!$C$5:$C$203,"&gt;45",'Teg long'!$D$5:$D$203,"Балансы на руках")</x:f>
        <x:v>1</x:v>
      </x:c>
      <x:c r="H14" s="123" t="n">
        <x:f>COUNTIFS('Teg long'!$C$5:$C$203,"&gt;45",'Teg long'!$D$5:$D$203,"ТБС и шпагаты")</x:f>
        <x:v>4</x:v>
      </x:c>
      <x:c r="I14" s="123" t="n">
        <x:f>COUNTIFS('Teg long'!$C$5:$C$203,"&gt;45",'Teg long'!$D$5:$D$203,"Всё тело")</x:f>
        <x:v>2</x:v>
      </x:c>
      <x:c r="J14" s="123" t="n">
        <x:f>COUNTIF(B14:I14,"&gt;0")</x:f>
        <x:v>7</x:v>
      </x:c>
    </x:row>
    <x:row r="15" ht="28" customHeight="1"/>
    <x:row r="16" ht="28" customHeight="1"/>
    <x:row r="17" ht="28" customHeight="1">
      <x:c r="A17" s="80" t="str">
        <x:v>Дополнительный teg: Сильные ноги</x:v>
      </x:c>
      <x:c r="B17" s="80"/>
      <x:c r="C17" s="80"/>
      <x:c r="D17" s="80"/>
      <x:c r="E17" s="80"/>
      <x:c r="F17" s="80"/>
      <x:c r="G17" s="80"/>
      <x:c r="H17" s="80"/>
      <x:c r="I17" s="80"/>
      <x:c r="J17" s="80"/>
    </x:row>
    <x:row r="18" ht="28" customHeight="1">
      <x:c r="A18" s="124" t="str">
        <x:v>Время</x:v>
      </x:c>
      <x:c r="B18" s="124" t="str">
        <x:v>Практик</x:v>
      </x:c>
      <x:c r="C18" s="124" t="str">
        <x:v>Рекомендация</x:v>
      </x:c>
    </x:row>
    <x:row r="19" ht="28" customHeight="1">
      <x:c r="A19" s="125" t="str">
        <x:v>до 10</x:v>
      </x:c>
      <x:c r="B19" s="125" t="n">
        <x:f>COUNTIFS('Teg long'!$C$5:$C$203,"&gt;0",'Teg long'!$C$5:$C$203,"&lt;=10",'Teg long'!$D$5:$D$203,"Сильные ноги")</x:f>
        <x:v>0</x:v>
      </x:c>
      <x:c r="C19" s="125" t="str">
        <x:f>IF(B19=0,"Не показывать",IF(B19&lt;=2,"Только поиск / скрытый teg","Можно тестировать кнопку"))</x:f>
        <x:v>Не показывать</x:v>
      </x:c>
    </x:row>
    <x:row r="20" ht="28" customHeight="1">
      <x:c r="A20" s="126" t="str">
        <x:v>10–15</x:v>
      </x:c>
      <x:c r="B20" s="126" t="n">
        <x:f>COUNTIFS('Teg long'!$C$5:$C$203,"&gt;10",'Teg long'!$C$5:$C$203,"&lt;=15",'Teg long'!$D$5:$D$203,"Сильные ноги")</x:f>
        <x:v>0</x:v>
      </x:c>
      <x:c r="C20" s="126" t="str">
        <x:f>IF(B20=0,"Не показывать",IF(B20&lt;=2,"Только поиск / скрытый teg","Можно тестировать кнопку"))</x:f>
        <x:v>Не показывать</x:v>
      </x:c>
    </x:row>
    <x:row r="21" ht="28" customHeight="1">
      <x:c r="A21" s="126" t="str">
        <x:v>15–20</x:v>
      </x:c>
      <x:c r="B21" s="126" t="n">
        <x:f>COUNTIFS('Teg long'!$C$5:$C$203,"&gt;15",'Teg long'!$C$5:$C$203,"&lt;=20",'Teg long'!$D$5:$D$203,"Сильные ноги")</x:f>
        <x:v>2</x:v>
      </x:c>
      <x:c r="C21" s="126" t="str">
        <x:f>IF(B21=0,"Не показывать",IF(B21&lt;=2,"Только поиск / скрытый teg","Можно тестировать кнопку"))</x:f>
        <x:v>Только поиск / скрытый teg</x:v>
      </x:c>
    </x:row>
    <x:row r="22" ht="28" customHeight="1">
      <x:c r="A22" s="126" t="str">
        <x:v>20–30</x:v>
      </x:c>
      <x:c r="B22" s="126" t="n">
        <x:f>COUNTIFS('Teg long'!$C$5:$C$203,"&gt;20",'Teg long'!$C$5:$C$203,"&lt;=30",'Teg long'!$D$5:$D$203,"Сильные ноги")</x:f>
        <x:v>0</x:v>
      </x:c>
      <x:c r="C22" s="126" t="str">
        <x:f>IF(B22=0,"Не показывать",IF(B22&lt;=2,"Только поиск / скрытый teg","Можно тестировать кнопку"))</x:f>
        <x:v>Не показывать</x:v>
      </x:c>
    </x:row>
    <x:row r="23" ht="28" customHeight="1">
      <x:c r="A23" s="126" t="str">
        <x:v>30–45</x:v>
      </x:c>
      <x:c r="B23" s="126" t="n">
        <x:f>COUNTIFS('Teg long'!$C$5:$C$203,"&gt;30",'Teg long'!$C$5:$C$203,"&lt;=45",'Teg long'!$D$5:$D$203,"Сильные ноги")</x:f>
        <x:v>0</x:v>
      </x:c>
      <x:c r="C23" s="126" t="str">
        <x:f>IF(B23=0,"Не показывать",IF(B23&lt;=2,"Только поиск / скрытый teg","Можно тестировать кнопку"))</x:f>
        <x:v>Не показывать</x:v>
      </x:c>
    </x:row>
    <x:row r="24" ht="28" customHeight="1">
      <x:c r="A24" s="127" t="str">
        <x:v>45+</x:v>
      </x:c>
      <x:c r="B24" s="127" t="n">
        <x:f>COUNTIFS('Teg long'!$C$5:$C$203,"&gt;45",'Teg long'!$D$5:$D$203,"Сильные ноги")</x:f>
        <x:v>0</x:v>
      </x:c>
      <x:c r="C24" s="127" t="str">
        <x:f>IF(B24=0,"Не показывать",IF(B24&lt;=2,"Только поиск / скрытый teg","Можно тестировать кнопку"))</x:f>
        <x:v>Не показывать</x:v>
      </x:c>
    </x:row>
  </x:sheetData>
  <x:mergeCells>
    <x:mergeCell ref="A1:J1"/>
    <x:mergeCell ref="A2:J2"/>
    <x:mergeCell ref="A4:C4"/>
    <x:mergeCell ref="D4:F4"/>
    <x:mergeCell ref="G4:J4"/>
    <x:mergeCell ref="A5:C6"/>
    <x:mergeCell ref="D5:F6"/>
    <x:mergeCell ref="G5:J6"/>
    <x:mergeCell ref="A17:J17"/>
  </x:mergeCells>
  <x:conditionalFormatting sqref="B9:I14">
    <x:cfRule type="cellIs" dxfId="32" priority="1" operator="equal">
      <x:formula>0</x:formula>
    </x:cfRule>
    <x:cfRule type="cellIs" dxfId="33" priority="2" operator="between">
      <x:formula>1</x:formula>
      <x:formula>2</x:formula>
    </x:cfRule>
    <x:cfRule type="cellIs" dxfId="34" priority="3" operator="greaterThan">
      <x:formula>2</x:formula>
    </x:cfRule>
  </x:conditionalFormatting>
  <x:conditionalFormatting sqref="B19:B24">
    <x:cfRule type="cellIs" dxfId="35" priority="4" operator="equal">
      <x:formula>0</x:formula>
    </x:cfRule>
    <x:cfRule type="cellIs" dxfId="36" priority="5" operator="between">
      <x:formula>1</x:formula>
      <x:formula>2</x:formula>
    </x:cfRule>
  </x:conditionalFormatting>
  <x:pageMargins left="0.7" right="0.7" top="0.75" bottom="0.75" header="0.3" footer="0.3"/>
</x:worksheet>
</file>